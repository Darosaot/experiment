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ettings" sheetId="2" state="visible" r:id="rId2"/>
    <sheet name="Income" sheetId="3" state="visible" r:id="rId3"/>
    <sheet name="Expenses" sheetId="4" state="visible" r:id="rId4"/>
    <sheet name="Projects" sheetId="5" state="visible" r:id="rId5"/>
    <sheet name="Rate Calculator" sheetId="6" state="visible" r:id="rId6"/>
    <sheet name="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b val="1"/>
      <color rgb="001F2933"/>
      <sz val="11"/>
    </font>
    <font>
      <name val="Calibri"/>
      <b val="1"/>
      <color rgb="001B3A5B"/>
      <sz val="11"/>
    </font>
    <font>
      <name val="Calibri"/>
      <i val="1"/>
      <color rgb="00718096"/>
      <sz val="11"/>
    </font>
    <font>
      <name val="Calibri"/>
      <b val="1"/>
      <color rgb="001F2933"/>
      <sz val="12"/>
    </font>
    <font>
      <name val="Calibri"/>
      <b val="1"/>
      <color rgb="00718096"/>
      <sz val="10"/>
    </font>
    <font>
      <name val="Calibri"/>
      <b val="1"/>
      <color rgb="00276749"/>
      <sz val="16"/>
    </font>
    <font>
      <name val="Calibri"/>
      <b val="1"/>
      <color rgb="009C4221"/>
      <sz val="16"/>
    </font>
    <font>
      <name val="Calibri"/>
      <b val="1"/>
      <color rgb="001B3A5B"/>
      <sz val="16"/>
    </font>
    <font>
      <name val="Calibri"/>
      <b val="1"/>
      <color rgb="002C7A7B"/>
      <sz val="20"/>
    </font>
    <font>
      <name val="Calibri"/>
      <color rgb="00718096"/>
      <sz val="10"/>
    </font>
    <font>
      <name val="Calibri"/>
      <color rgb="001F2933"/>
      <sz val="11"/>
    </font>
    <font>
      <name val="Calibri"/>
      <b val="1"/>
      <color rgb="001B3A5B"/>
      <sz val="12"/>
    </font>
    <font>
      <name val="Calibri"/>
      <b val="1"/>
      <i val="1"/>
      <color rgb="002C7A7B"/>
      <sz val="11"/>
    </font>
  </fonts>
  <fills count="7">
    <fill>
      <patternFill/>
    </fill>
    <fill>
      <patternFill patternType="gray125"/>
    </fill>
    <fill>
      <patternFill patternType="solid">
        <fgColor rgb="001B3A5B"/>
      </patternFill>
    </fill>
    <fill>
      <patternFill patternType="solid">
        <fgColor rgb="002C7A7B"/>
      </patternFill>
    </fill>
    <fill>
      <patternFill patternType="solid">
        <fgColor rgb="00E6FFFA"/>
      </patternFill>
    </fill>
    <fill>
      <patternFill patternType="solid">
        <fgColor rgb="00FFFFFF"/>
      </patternFill>
    </fill>
    <fill>
      <patternFill patternType="solid">
        <fgColor rgb="00EDF2F7"/>
      </patternFill>
    </fill>
  </fills>
  <borders count="5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/>
      <right/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 style="thin">
        <color rgb="00CBD5E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14" fillId="0" borderId="0" pivotButton="0" quotePrefix="0" xfId="0"/>
    <xf numFmtId="0" fontId="15" fillId="4" borderId="0" pivotButton="0" quotePrefix="0" xfId="0"/>
    <xf numFmtId="0" fontId="16" fillId="0" borderId="0" pivotButton="0" quotePrefix="0" xfId="0"/>
    <xf numFmtId="0" fontId="3" fillId="3" borderId="1" applyAlignment="1" pivotButton="0" quotePrefix="0" xfId="0">
      <alignment horizontal="center"/>
    </xf>
    <xf numFmtId="0" fontId="4" fillId="0" borderId="1" pivotButton="0" quotePrefix="0" xfId="0"/>
    <xf numFmtId="0" fontId="5" fillId="4" borderId="1" applyAlignment="1" pivotButton="0" quotePrefix="0" xfId="0">
      <alignment horizontal="center"/>
    </xf>
    <xf numFmtId="0" fontId="6" fillId="0" borderId="1" pivotButton="0" quotePrefix="0" xfId="0"/>
    <xf numFmtId="0" fontId="4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3" fillId="3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4" fontId="0" fillId="6" borderId="1" pivotButton="0" quotePrefix="0" xfId="0"/>
    <xf numFmtId="4" fontId="0" fillId="6" borderId="1" pivotButton="0" quotePrefix="0" xfId="0"/>
    <xf numFmtId="0" fontId="6" fillId="0" borderId="0" pivotButton="0" quotePrefix="0" xfId="0"/>
    <xf numFmtId="4" fontId="5" fillId="0" borderId="1" applyAlignment="1" pivotButton="0" quotePrefix="0" xfId="0">
      <alignment horizontal="center"/>
    </xf>
    <xf numFmtId="9" fontId="5" fillId="0" borderId="1" applyAlignment="1" pivotButton="0" quotePrefix="0" xfId="0">
      <alignment horizontal="center"/>
    </xf>
    <xf numFmtId="3" fontId="5" fillId="0" borderId="1" applyAlignment="1" pivotButton="0" quotePrefix="0" xfId="0">
      <alignment horizontal="center"/>
    </xf>
    <xf numFmtId="0" fontId="7" fillId="4" borderId="1" pivotButton="0" quotePrefix="0" xfId="0"/>
    <xf numFmtId="4" fontId="5" fillId="4" borderId="1" applyAlignment="1" pivotButton="0" quotePrefix="0" xfId="0">
      <alignment horizontal="center"/>
    </xf>
    <xf numFmtId="0" fontId="8" fillId="6" borderId="1" applyAlignment="1" pivotButton="0" quotePrefix="0" xfId="0">
      <alignment horizontal="left" indent="1"/>
    </xf>
    <xf numFmtId="4" fontId="9" fillId="5" borderId="1" applyAlignment="1" pivotButton="0" quotePrefix="0" xfId="0">
      <alignment horizontal="left" indent="1"/>
    </xf>
    <xf numFmtId="4" fontId="10" fillId="5" borderId="1" applyAlignment="1" pivotButton="0" quotePrefix="0" xfId="0">
      <alignment horizontal="left" indent="1"/>
    </xf>
    <xf numFmtId="4" fontId="11" fillId="5" borderId="1" applyAlignment="1" pivotButton="0" quotePrefix="0" xfId="0">
      <alignment horizontal="left" indent="1"/>
    </xf>
    <xf numFmtId="0" fontId="13" fillId="0" borderId="0" pivotButton="0" quotePrefix="0" xfId="0"/>
    <xf numFmtId="165" fontId="12" fillId="0" borderId="0" pivotButton="0" quotePrefix="0" xfId="0"/>
    <xf numFmtId="4" fontId="4" fillId="0" borderId="0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Income vs Expenses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'Dashboard'!F18</f>
            </strRef>
          </tx>
          <spPr>
            <a:ln>
              <a:prstDash val="solid"/>
            </a:ln>
          </spPr>
          <cat>
            <numRef>
              <f>'Dashboard'!$E$19:$E$30</f>
            </numRef>
          </cat>
          <val>
            <numRef>
              <f>'Dashboard'!$F$19:$F$30</f>
            </numRef>
          </val>
        </ser>
        <ser>
          <idx val="1"/>
          <order val="1"/>
          <tx>
            <strRef>
              <f>'Dashboard'!G18</f>
            </strRef>
          </tx>
          <spPr>
            <a:ln>
              <a:prstDash val="solid"/>
            </a:ln>
          </spPr>
          <cat>
            <numRef>
              <f>'Dashboard'!$E$19:$E$30</f>
            </numRef>
          </cat>
          <val>
            <numRef>
              <f>'Dashboard'!$G$19:$G$30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'Dashboard'!F33</f>
            </strRef>
          </tx>
          <spPr>
            <a:ln>
              <a:prstDash val="solid"/>
            </a:ln>
          </spPr>
          <cat>
            <numRef>
              <f>'Dashboard'!$E$34:$E$45</f>
            </numRef>
          </cat>
          <val>
            <numRef>
              <f>'Dashboard'!$F$34:$F$45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17</row>
      <rowOff>0</rowOff>
    </from>
    <ext cx="576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32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30" customWidth="1" min="3" max="3"/>
  </cols>
  <sheetData>
    <row r="1" ht="34" customHeight="1">
      <c r="A1" s="1" t="inlineStr">
        <is>
          <t>Freelancer Finance &amp; Business Toolkit</t>
        </is>
      </c>
    </row>
    <row r="2" ht="18" customHeight="1">
      <c r="A2" s="2" t="inlineStr">
        <is>
          <t>A complete, automatic money dashboard for freelancers &amp; solo businesses.</t>
        </is>
      </c>
    </row>
    <row r="4" ht="18" customHeight="1">
      <c r="B4" s="3" t="inlineStr"/>
    </row>
    <row r="5" ht="18" customHeight="1">
      <c r="B5" s="4" t="inlineStr">
        <is>
          <t>HOW TO USE THIS TOOLKIT</t>
        </is>
      </c>
    </row>
    <row r="6" ht="18" customHeight="1">
      <c r="B6" s="3" t="inlineStr">
        <is>
          <t>1.  Open the  Settings  tab and fill in your goal, currency and tax rate.</t>
        </is>
      </c>
    </row>
    <row r="7" ht="18" customHeight="1">
      <c r="B7" s="3" t="inlineStr">
        <is>
          <t>2.  Log invoices on the  Income  tab. Mark each one Paid / Unpaid.</t>
        </is>
      </c>
    </row>
    <row r="8" ht="18" customHeight="1">
      <c r="B8" s="3" t="inlineStr">
        <is>
          <t>3.  Log costs on the  Expenses  tab and pick a category.</t>
        </is>
      </c>
    </row>
    <row r="9" ht="18" customHeight="1">
      <c r="B9" s="3" t="inlineStr">
        <is>
          <t>4.  Watch the  Dashboard  update itself — profit, tax to set aside, take-home.</t>
        </is>
      </c>
    </row>
    <row r="10" ht="18" customHeight="1">
      <c r="B10" s="3" t="inlineStr">
        <is>
          <t>5.  Use the  Rate Calculator  to know exactly what to charge.</t>
        </is>
      </c>
    </row>
    <row r="11" ht="18" customHeight="1">
      <c r="B11" s="3" t="inlineStr">
        <is>
          <t>6.  Track your pipeline on the  Projects  tab.</t>
        </is>
      </c>
    </row>
    <row r="12" ht="18" customHeight="1">
      <c r="B12" s="3" t="inlineStr"/>
    </row>
    <row r="13" ht="18" customHeight="1">
      <c r="B13" s="4" t="inlineStr">
        <is>
          <t>WHAT'S INSIDE</t>
        </is>
      </c>
    </row>
    <row r="14" ht="18" customHeight="1">
      <c r="B14" s="3" t="inlineStr">
        <is>
          <t>• Auto Dashboard with charts (income vs expenses, expenses by category)</t>
        </is>
      </c>
    </row>
    <row r="15" ht="18" customHeight="1">
      <c r="B15" s="3" t="inlineStr">
        <is>
          <t>• Invoice tracker with Paid / Unpaid / Overdue status</t>
        </is>
      </c>
    </row>
    <row r="16" ht="18" customHeight="1">
      <c r="B16" s="3" t="inlineStr">
        <is>
          <t>• Expense tracker with deductible flag for easy tax time</t>
        </is>
      </c>
    </row>
    <row r="17" ht="18" customHeight="1">
      <c r="B17" s="3" t="inlineStr">
        <is>
          <t>• Tax set-aside estimator so you're never caught short</t>
        </is>
      </c>
    </row>
    <row r="18" ht="18" customHeight="1">
      <c r="B18" s="3" t="inlineStr">
        <is>
          <t>• Hourly &amp; day-rate calculator based on your real goals</t>
        </is>
      </c>
    </row>
    <row r="19" ht="18" customHeight="1">
      <c r="B19" s="3" t="inlineStr">
        <is>
          <t>• Project / pipeline tracker</t>
        </is>
      </c>
    </row>
    <row r="20" ht="18" customHeight="1">
      <c r="B20" s="3" t="inlineStr"/>
    </row>
    <row r="21" ht="18" customHeight="1">
      <c r="B21" s="4" t="inlineStr">
        <is>
          <t>WORKS IN</t>
        </is>
      </c>
    </row>
    <row r="22" ht="18" customHeight="1">
      <c r="B22" s="3" t="inlineStr">
        <is>
          <t>• Microsoft Excel (desktop &amp; 365)</t>
        </is>
      </c>
    </row>
    <row r="23" ht="18" customHeight="1">
      <c r="B23" s="3" t="inlineStr">
        <is>
          <t>• Google Sheets — upload to Drive, then File ▸ 'Save as Google Sheets'</t>
        </is>
      </c>
    </row>
    <row r="24" ht="18" customHeight="1">
      <c r="B24" s="3" t="inlineStr">
        <is>
          <t>• Apple Numbers &amp; LibreOffice Calc</t>
        </is>
      </c>
    </row>
    <row r="25" ht="18" customHeight="1">
      <c r="B25" s="3" t="inlineStr"/>
    </row>
    <row r="26" ht="18" customHeight="1">
      <c r="B26" s="4" t="inlineStr">
        <is>
          <t>TIPS</t>
        </is>
      </c>
    </row>
    <row r="27" ht="18" customHeight="1">
      <c r="B27" s="3" t="inlineStr">
        <is>
          <t>• Dates: type them as 2026-01-31 so the monthly charts work.</t>
        </is>
      </c>
    </row>
    <row r="28" ht="18" customHeight="1">
      <c r="B28" s="3" t="inlineStr">
        <is>
          <t>• Add rows by copying a formatted row down — formulas extend automatically.</t>
        </is>
      </c>
    </row>
    <row r="29" ht="18" customHeight="1">
      <c r="B29" s="3" t="inlineStr">
        <is>
          <t>• Edit the category &amp; status lists on the Settings tab to fit your work.</t>
        </is>
      </c>
    </row>
    <row r="30" ht="18" customHeight="1">
      <c r="B30" s="3" t="inlineStr"/>
    </row>
    <row r="31" ht="18" customHeight="1">
      <c r="B31" s="5" t="inlineStr">
        <is>
          <t>Thank you for your purchase! Questions? Reply to your order receipt.</t>
        </is>
      </c>
    </row>
  </sheetData>
  <mergeCells count="6">
    <mergeCell ref="B13:C13"/>
    <mergeCell ref="B21:C21"/>
    <mergeCell ref="B26:C26"/>
    <mergeCell ref="B5:C5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22" customWidth="1" min="3" max="3"/>
    <col width="50" customWidth="1" min="4" max="4"/>
  </cols>
  <sheetData>
    <row r="1" ht="34" customHeight="1">
      <c r="A1" s="1" t="inlineStr">
        <is>
          <t>⚙  Settings</t>
        </is>
      </c>
    </row>
    <row r="2" ht="18" customHeight="1">
      <c r="A2" s="2" t="inlineStr">
        <is>
          <t>Set these once. Everything else updates automatically.</t>
        </is>
      </c>
    </row>
    <row r="4">
      <c r="B4" s="6" t="inlineStr">
        <is>
          <t>SETTING</t>
        </is>
      </c>
      <c r="C4" s="6" t="inlineStr">
        <is>
          <t>VALUE</t>
        </is>
      </c>
      <c r="D4" s="6" t="inlineStr">
        <is>
          <t>NOTES</t>
        </is>
      </c>
    </row>
    <row r="5">
      <c r="B5" s="7" t="inlineStr">
        <is>
          <t>Your name / business</t>
        </is>
      </c>
      <c r="C5" s="8" t="inlineStr">
        <is>
          <t>Your Name</t>
        </is>
      </c>
      <c r="D5" s="9" t="inlineStr">
        <is>
          <t>Shown for your own reference.</t>
        </is>
      </c>
    </row>
    <row r="6">
      <c r="B6" s="7" t="inlineStr">
        <is>
          <t>Currency symbol</t>
        </is>
      </c>
      <c r="C6" s="8" t="inlineStr">
        <is>
          <t>€</t>
        </is>
      </c>
      <c r="D6" s="9" t="inlineStr">
        <is>
          <t>Type any symbol: €, $, £, etc.</t>
        </is>
      </c>
    </row>
    <row r="7">
      <c r="B7" s="7" t="inlineStr">
        <is>
          <t>Annual income goal</t>
        </is>
      </c>
      <c r="C7" s="8" t="n">
        <v>30000</v>
      </c>
      <c r="D7" s="9" t="inlineStr">
        <is>
          <t>Used by the Rate Calculator.</t>
        </is>
      </c>
    </row>
    <row r="8">
      <c r="B8" s="7" t="inlineStr">
        <is>
          <t>Billable hours per year</t>
        </is>
      </c>
      <c r="C8" s="8" t="n">
        <v>1200</v>
      </c>
      <c r="D8" s="9" t="inlineStr">
        <is>
          <t>Realistic billable hours (not total worked).</t>
        </is>
      </c>
    </row>
    <row r="9">
      <c r="B9" s="7" t="inlineStr">
        <is>
          <t>Tax set-aside rate (%)</t>
        </is>
      </c>
      <c r="C9" s="8" t="n">
        <v>25</v>
      </c>
      <c r="D9" s="9" t="inlineStr">
        <is>
          <t>Rough % to reserve for income tax + social/self-employment.</t>
        </is>
      </c>
    </row>
    <row r="10">
      <c r="B10" s="7" t="inlineStr">
        <is>
          <t>Business expenses / year (est.)</t>
        </is>
      </c>
      <c r="C10" s="8" t="n">
        <v>4000</v>
      </c>
      <c r="D10" s="9" t="inlineStr">
        <is>
          <t>Used by the Rate Calculator.</t>
        </is>
      </c>
    </row>
    <row r="13">
      <c r="B13" s="10" t="inlineStr">
        <is>
          <t>Expense categories (edit freely):</t>
        </is>
      </c>
      <c r="D13" s="10" t="inlineStr">
        <is>
          <t>Invoice statuses:</t>
        </is>
      </c>
    </row>
    <row r="14">
      <c r="B14" s="11" t="inlineStr">
        <is>
          <t>Software &amp; subscriptions</t>
        </is>
      </c>
      <c r="D14" s="11" t="inlineStr">
        <is>
          <t>Paid</t>
        </is>
      </c>
    </row>
    <row r="15">
      <c r="B15" s="12" t="inlineStr">
        <is>
          <t>Hardware &amp; equipment</t>
        </is>
      </c>
      <c r="D15" s="12" t="inlineStr">
        <is>
          <t>Unpaid</t>
        </is>
      </c>
    </row>
    <row r="16">
      <c r="B16" s="11" t="inlineStr">
        <is>
          <t>Office &amp; supplies</t>
        </is>
      </c>
      <c r="D16" s="11" t="inlineStr">
        <is>
          <t>Overdue</t>
        </is>
      </c>
    </row>
    <row r="17">
      <c r="B17" s="12" t="inlineStr">
        <is>
          <t>Travel &amp; transport</t>
        </is>
      </c>
      <c r="D17" s="12" t="inlineStr">
        <is>
          <t>Draft</t>
        </is>
      </c>
    </row>
    <row r="18">
      <c r="B18" s="11" t="inlineStr">
        <is>
          <t>Marketing &amp; advertising</t>
        </is>
      </c>
    </row>
    <row r="19">
      <c r="B19" s="12" t="inlineStr">
        <is>
          <t>Professional services</t>
        </is>
      </c>
    </row>
    <row r="20">
      <c r="B20" s="11" t="inlineStr">
        <is>
          <t>Education &amp; training</t>
        </is>
      </c>
      <c r="D20" s="10" t="inlineStr">
        <is>
          <t>Project statuses:</t>
        </is>
      </c>
    </row>
    <row r="21">
      <c r="B21" s="12" t="inlineStr">
        <is>
          <t>Bank &amp; payment fees</t>
        </is>
      </c>
      <c r="D21" s="11" t="inlineStr">
        <is>
          <t>Lead</t>
        </is>
      </c>
    </row>
    <row r="22">
      <c r="B22" s="11" t="inlineStr">
        <is>
          <t>Insurance</t>
        </is>
      </c>
      <c r="D22" s="12" t="inlineStr">
        <is>
          <t>Proposal sent</t>
        </is>
      </c>
    </row>
    <row r="23">
      <c r="B23" s="12" t="inlineStr">
        <is>
          <t>Rent &amp; utilities</t>
        </is>
      </c>
      <c r="D23" s="11" t="inlineStr">
        <is>
          <t>Active</t>
        </is>
      </c>
    </row>
    <row r="24">
      <c r="B24" s="11" t="inlineStr">
        <is>
          <t>Meals &amp; entertainment</t>
        </is>
      </c>
      <c r="D24" s="12" t="inlineStr">
        <is>
          <t>On hold</t>
        </is>
      </c>
    </row>
    <row r="25">
      <c r="B25" s="12" t="inlineStr">
        <is>
          <t>Other</t>
        </is>
      </c>
      <c r="D25" s="11" t="inlineStr">
        <is>
          <t>Completed</t>
        </is>
      </c>
    </row>
    <row r="26">
      <c r="D26" s="12" t="inlineStr">
        <is>
          <t>Cancelled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34" customWidth="1" min="4" max="4"/>
    <col width="14" customWidth="1" min="5" max="5"/>
    <col width="13" customWidth="1" min="6" max="6"/>
    <col width="13" customWidth="1" min="7" max="7"/>
  </cols>
  <sheetData>
    <row r="1" ht="34" customHeight="1">
      <c r="A1" s="1" t="inlineStr">
        <is>
          <t>💶  Income &amp; Invoices</t>
        </is>
      </c>
    </row>
    <row r="2" ht="18" customHeight="1">
      <c r="A2" s="2" t="inlineStr">
        <is>
          <t>Log every invoice. 'Paid' rows feed your Dashboard automatically.</t>
        </is>
      </c>
    </row>
    <row r="4" ht="26" customHeight="1">
      <c r="A4" s="13" t="inlineStr">
        <is>
          <t>Date</t>
        </is>
      </c>
      <c r="B4" s="13" t="inlineStr">
        <is>
          <t>Client</t>
        </is>
      </c>
      <c r="C4" s="13" t="inlineStr">
        <is>
          <t>Invoice #</t>
        </is>
      </c>
      <c r="D4" s="13" t="inlineStr">
        <is>
          <t>Description</t>
        </is>
      </c>
      <c r="E4" s="13" t="inlineStr">
        <is>
          <t>Amount</t>
        </is>
      </c>
      <c r="F4" s="13" t="inlineStr">
        <is>
          <t>Status</t>
        </is>
      </c>
      <c r="G4" s="13" t="inlineStr">
        <is>
          <t>Date paid</t>
        </is>
      </c>
    </row>
    <row r="5">
      <c r="A5" s="14" t="n"/>
      <c r="B5" s="15" t="n"/>
      <c r="C5" s="15" t="n"/>
      <c r="D5" s="15" t="n"/>
      <c r="E5" s="16" t="n"/>
      <c r="F5" s="15" t="n"/>
      <c r="G5" s="14" t="n"/>
    </row>
    <row r="6">
      <c r="A6" s="17" t="n"/>
      <c r="B6" s="12" t="n"/>
      <c r="C6" s="12" t="n"/>
      <c r="D6" s="12" t="n"/>
      <c r="E6" s="18" t="n"/>
      <c r="F6" s="12" t="n"/>
      <c r="G6" s="17" t="n"/>
    </row>
    <row r="7">
      <c r="A7" s="14" t="n"/>
      <c r="B7" s="15" t="n"/>
      <c r="C7" s="15" t="n"/>
      <c r="D7" s="15" t="n"/>
      <c r="E7" s="16" t="n"/>
      <c r="F7" s="15" t="n"/>
      <c r="G7" s="14" t="n"/>
    </row>
    <row r="8">
      <c r="A8" s="17" t="n"/>
      <c r="B8" s="12" t="n"/>
      <c r="C8" s="12" t="n"/>
      <c r="D8" s="12" t="n"/>
      <c r="E8" s="18" t="n"/>
      <c r="F8" s="12" t="n"/>
      <c r="G8" s="17" t="n"/>
    </row>
    <row r="9">
      <c r="A9" s="14" t="n"/>
      <c r="B9" s="15" t="n"/>
      <c r="C9" s="15" t="n"/>
      <c r="D9" s="15" t="n"/>
      <c r="E9" s="16" t="n"/>
      <c r="F9" s="15" t="n"/>
      <c r="G9" s="14" t="n"/>
    </row>
    <row r="10">
      <c r="A10" s="17" t="n"/>
      <c r="B10" s="12" t="n"/>
      <c r="C10" s="12" t="n"/>
      <c r="D10" s="12" t="n"/>
      <c r="E10" s="18" t="n"/>
      <c r="F10" s="12" t="n"/>
      <c r="G10" s="17" t="n"/>
    </row>
    <row r="11">
      <c r="A11" s="14" t="n"/>
      <c r="B11" s="15" t="n"/>
      <c r="C11" s="15" t="n"/>
      <c r="D11" s="15" t="n"/>
      <c r="E11" s="16" t="n"/>
      <c r="F11" s="15" t="n"/>
      <c r="G11" s="14" t="n"/>
    </row>
    <row r="12">
      <c r="A12" s="17" t="n"/>
      <c r="B12" s="12" t="n"/>
      <c r="C12" s="12" t="n"/>
      <c r="D12" s="12" t="n"/>
      <c r="E12" s="18" t="n"/>
      <c r="F12" s="12" t="n"/>
      <c r="G12" s="17" t="n"/>
    </row>
    <row r="13">
      <c r="A13" s="14" t="n"/>
      <c r="B13" s="15" t="n"/>
      <c r="C13" s="15" t="n"/>
      <c r="D13" s="15" t="n"/>
      <c r="E13" s="16" t="n"/>
      <c r="F13" s="15" t="n"/>
      <c r="G13" s="14" t="n"/>
    </row>
    <row r="14">
      <c r="A14" s="17" t="n"/>
      <c r="B14" s="12" t="n"/>
      <c r="C14" s="12" t="n"/>
      <c r="D14" s="12" t="n"/>
      <c r="E14" s="18" t="n"/>
      <c r="F14" s="12" t="n"/>
      <c r="G14" s="17" t="n"/>
    </row>
    <row r="15">
      <c r="A15" s="14" t="n"/>
      <c r="B15" s="15" t="n"/>
      <c r="C15" s="15" t="n"/>
      <c r="D15" s="15" t="n"/>
      <c r="E15" s="16" t="n"/>
      <c r="F15" s="15" t="n"/>
      <c r="G15" s="14" t="n"/>
    </row>
    <row r="16">
      <c r="A16" s="17" t="n"/>
      <c r="B16" s="12" t="n"/>
      <c r="C16" s="12" t="n"/>
      <c r="D16" s="12" t="n"/>
      <c r="E16" s="18" t="n"/>
      <c r="F16" s="12" t="n"/>
      <c r="G16" s="17" t="n"/>
    </row>
    <row r="17">
      <c r="A17" s="14" t="n"/>
      <c r="B17" s="15" t="n"/>
      <c r="C17" s="15" t="n"/>
      <c r="D17" s="15" t="n"/>
      <c r="E17" s="16" t="n"/>
      <c r="F17" s="15" t="n"/>
      <c r="G17" s="14" t="n"/>
    </row>
    <row r="18">
      <c r="A18" s="17" t="n"/>
      <c r="B18" s="12" t="n"/>
      <c r="C18" s="12" t="n"/>
      <c r="D18" s="12" t="n"/>
      <c r="E18" s="18" t="n"/>
      <c r="F18" s="12" t="n"/>
      <c r="G18" s="17" t="n"/>
    </row>
    <row r="19">
      <c r="A19" s="14" t="n"/>
      <c r="B19" s="15" t="n"/>
      <c r="C19" s="15" t="n"/>
      <c r="D19" s="15" t="n"/>
      <c r="E19" s="16" t="n"/>
      <c r="F19" s="15" t="n"/>
      <c r="G19" s="14" t="n"/>
    </row>
    <row r="20">
      <c r="A20" s="17" t="n"/>
      <c r="B20" s="12" t="n"/>
      <c r="C20" s="12" t="n"/>
      <c r="D20" s="12" t="n"/>
      <c r="E20" s="18" t="n"/>
      <c r="F20" s="12" t="n"/>
      <c r="G20" s="17" t="n"/>
    </row>
    <row r="21">
      <c r="A21" s="14" t="n"/>
      <c r="B21" s="15" t="n"/>
      <c r="C21" s="15" t="n"/>
      <c r="D21" s="15" t="n"/>
      <c r="E21" s="16" t="n"/>
      <c r="F21" s="15" t="n"/>
      <c r="G21" s="14" t="n"/>
    </row>
    <row r="22">
      <c r="A22" s="17" t="n"/>
      <c r="B22" s="12" t="n"/>
      <c r="C22" s="12" t="n"/>
      <c r="D22" s="12" t="n"/>
      <c r="E22" s="18" t="n"/>
      <c r="F22" s="12" t="n"/>
      <c r="G22" s="17" t="n"/>
    </row>
    <row r="23">
      <c r="A23" s="14" t="n"/>
      <c r="B23" s="15" t="n"/>
      <c r="C23" s="15" t="n"/>
      <c r="D23" s="15" t="n"/>
      <c r="E23" s="16" t="n"/>
      <c r="F23" s="15" t="n"/>
      <c r="G23" s="14" t="n"/>
    </row>
    <row r="24">
      <c r="A24" s="17" t="n"/>
      <c r="B24" s="12" t="n"/>
      <c r="C24" s="12" t="n"/>
      <c r="D24" s="12" t="n"/>
      <c r="E24" s="18" t="n"/>
      <c r="F24" s="12" t="n"/>
      <c r="G24" s="17" t="n"/>
    </row>
    <row r="25">
      <c r="A25" s="14" t="n"/>
      <c r="B25" s="15" t="n"/>
      <c r="C25" s="15" t="n"/>
      <c r="D25" s="15" t="n"/>
      <c r="E25" s="16" t="n"/>
      <c r="F25" s="15" t="n"/>
      <c r="G25" s="14" t="n"/>
    </row>
    <row r="26">
      <c r="A26" s="17" t="n"/>
      <c r="B26" s="12" t="n"/>
      <c r="C26" s="12" t="n"/>
      <c r="D26" s="12" t="n"/>
      <c r="E26" s="18" t="n"/>
      <c r="F26" s="12" t="n"/>
      <c r="G26" s="17" t="n"/>
    </row>
    <row r="27">
      <c r="A27" s="14" t="n"/>
      <c r="B27" s="15" t="n"/>
      <c r="C27" s="15" t="n"/>
      <c r="D27" s="15" t="n"/>
      <c r="E27" s="16" t="n"/>
      <c r="F27" s="15" t="n"/>
      <c r="G27" s="14" t="n"/>
    </row>
    <row r="28">
      <c r="A28" s="17" t="n"/>
      <c r="B28" s="12" t="n"/>
      <c r="C28" s="12" t="n"/>
      <c r="D28" s="12" t="n"/>
      <c r="E28" s="18" t="n"/>
      <c r="F28" s="12" t="n"/>
      <c r="G28" s="17" t="n"/>
    </row>
    <row r="29">
      <c r="A29" s="14" t="n"/>
      <c r="B29" s="15" t="n"/>
      <c r="C29" s="15" t="n"/>
      <c r="D29" s="15" t="n"/>
      <c r="E29" s="16" t="n"/>
      <c r="F29" s="15" t="n"/>
      <c r="G29" s="14" t="n"/>
    </row>
    <row r="30">
      <c r="A30" s="17" t="n"/>
      <c r="B30" s="12" t="n"/>
      <c r="C30" s="12" t="n"/>
      <c r="D30" s="12" t="n"/>
      <c r="E30" s="18" t="n"/>
      <c r="F30" s="12" t="n"/>
      <c r="G30" s="17" t="n"/>
    </row>
    <row r="31">
      <c r="A31" s="14" t="n"/>
      <c r="B31" s="15" t="n"/>
      <c r="C31" s="15" t="n"/>
      <c r="D31" s="15" t="n"/>
      <c r="E31" s="16" t="n"/>
      <c r="F31" s="15" t="n"/>
      <c r="G31" s="14" t="n"/>
    </row>
    <row r="32">
      <c r="A32" s="17" t="n"/>
      <c r="B32" s="12" t="n"/>
      <c r="C32" s="12" t="n"/>
      <c r="D32" s="12" t="n"/>
      <c r="E32" s="18" t="n"/>
      <c r="F32" s="12" t="n"/>
      <c r="G32" s="17" t="n"/>
    </row>
    <row r="33">
      <c r="A33" s="14" t="n"/>
      <c r="B33" s="15" t="n"/>
      <c r="C33" s="15" t="n"/>
      <c r="D33" s="15" t="n"/>
      <c r="E33" s="16" t="n"/>
      <c r="F33" s="15" t="n"/>
      <c r="G33" s="14" t="n"/>
    </row>
    <row r="34">
      <c r="A34" s="17" t="n"/>
      <c r="B34" s="12" t="n"/>
      <c r="C34" s="12" t="n"/>
      <c r="D34" s="12" t="n"/>
      <c r="E34" s="18" t="n"/>
      <c r="F34" s="12" t="n"/>
      <c r="G34" s="17" t="n"/>
    </row>
    <row r="35">
      <c r="A35" s="14" t="n"/>
      <c r="B35" s="15" t="n"/>
      <c r="C35" s="15" t="n"/>
      <c r="D35" s="15" t="n"/>
      <c r="E35" s="16" t="n"/>
      <c r="F35" s="15" t="n"/>
      <c r="G35" s="14" t="n"/>
    </row>
    <row r="36">
      <c r="A36" s="17" t="n"/>
      <c r="B36" s="12" t="n"/>
      <c r="C36" s="12" t="n"/>
      <c r="D36" s="12" t="n"/>
      <c r="E36" s="18" t="n"/>
      <c r="F36" s="12" t="n"/>
      <c r="G36" s="17" t="n"/>
    </row>
    <row r="37">
      <c r="A37" s="14" t="n"/>
      <c r="B37" s="15" t="n"/>
      <c r="C37" s="15" t="n"/>
      <c r="D37" s="15" t="n"/>
      <c r="E37" s="16" t="n"/>
      <c r="F37" s="15" t="n"/>
      <c r="G37" s="14" t="n"/>
    </row>
    <row r="38">
      <c r="A38" s="17" t="n"/>
      <c r="B38" s="12" t="n"/>
      <c r="C38" s="12" t="n"/>
      <c r="D38" s="12" t="n"/>
      <c r="E38" s="18" t="n"/>
      <c r="F38" s="12" t="n"/>
      <c r="G38" s="17" t="n"/>
    </row>
    <row r="39">
      <c r="A39" s="14" t="n"/>
      <c r="B39" s="15" t="n"/>
      <c r="C39" s="15" t="n"/>
      <c r="D39" s="15" t="n"/>
      <c r="E39" s="16" t="n"/>
      <c r="F39" s="15" t="n"/>
      <c r="G39" s="14" t="n"/>
    </row>
    <row r="40">
      <c r="A40" s="17" t="n"/>
      <c r="B40" s="12" t="n"/>
      <c r="C40" s="12" t="n"/>
      <c r="D40" s="12" t="n"/>
      <c r="E40" s="18" t="n"/>
      <c r="F40" s="12" t="n"/>
      <c r="G40" s="17" t="n"/>
    </row>
    <row r="41">
      <c r="A41" s="14" t="n"/>
      <c r="B41" s="15" t="n"/>
      <c r="C41" s="15" t="n"/>
      <c r="D41" s="15" t="n"/>
      <c r="E41" s="16" t="n"/>
      <c r="F41" s="15" t="n"/>
      <c r="G41" s="14" t="n"/>
    </row>
    <row r="42">
      <c r="A42" s="17" t="n"/>
      <c r="B42" s="12" t="n"/>
      <c r="C42" s="12" t="n"/>
      <c r="D42" s="12" t="n"/>
      <c r="E42" s="18" t="n"/>
      <c r="F42" s="12" t="n"/>
      <c r="G42" s="17" t="n"/>
    </row>
    <row r="43">
      <c r="A43" s="14" t="n"/>
      <c r="B43" s="15" t="n"/>
      <c r="C43" s="15" t="n"/>
      <c r="D43" s="15" t="n"/>
      <c r="E43" s="16" t="n"/>
      <c r="F43" s="15" t="n"/>
      <c r="G43" s="14" t="n"/>
    </row>
    <row r="44">
      <c r="A44" s="17" t="n"/>
      <c r="B44" s="12" t="n"/>
      <c r="C44" s="12" t="n"/>
      <c r="D44" s="12" t="n"/>
      <c r="E44" s="18" t="n"/>
      <c r="F44" s="12" t="n"/>
      <c r="G44" s="17" t="n"/>
    </row>
    <row r="45">
      <c r="A45" s="14" t="n"/>
      <c r="B45" s="15" t="n"/>
      <c r="C45" s="15" t="n"/>
      <c r="D45" s="15" t="n"/>
      <c r="E45" s="16" t="n"/>
      <c r="F45" s="15" t="n"/>
      <c r="G45" s="14" t="n"/>
    </row>
    <row r="46">
      <c r="A46" s="17" t="n"/>
      <c r="B46" s="12" t="n"/>
      <c r="C46" s="12" t="n"/>
      <c r="D46" s="12" t="n"/>
      <c r="E46" s="18" t="n"/>
      <c r="F46" s="12" t="n"/>
      <c r="G46" s="17" t="n"/>
    </row>
    <row r="47">
      <c r="A47" s="14" t="n"/>
      <c r="B47" s="15" t="n"/>
      <c r="C47" s="15" t="n"/>
      <c r="D47" s="15" t="n"/>
      <c r="E47" s="16" t="n"/>
      <c r="F47" s="15" t="n"/>
      <c r="G47" s="14" t="n"/>
    </row>
    <row r="48">
      <c r="A48" s="17" t="n"/>
      <c r="B48" s="12" t="n"/>
      <c r="C48" s="12" t="n"/>
      <c r="D48" s="12" t="n"/>
      <c r="E48" s="18" t="n"/>
      <c r="F48" s="12" t="n"/>
      <c r="G48" s="17" t="n"/>
    </row>
    <row r="49">
      <c r="A49" s="14" t="n"/>
      <c r="B49" s="15" t="n"/>
      <c r="C49" s="15" t="n"/>
      <c r="D49" s="15" t="n"/>
      <c r="E49" s="16" t="n"/>
      <c r="F49" s="15" t="n"/>
      <c r="G49" s="14" t="n"/>
    </row>
    <row r="50">
      <c r="A50" s="17" t="n"/>
      <c r="B50" s="12" t="n"/>
      <c r="C50" s="12" t="n"/>
      <c r="D50" s="12" t="n"/>
      <c r="E50" s="18" t="n"/>
      <c r="F50" s="12" t="n"/>
      <c r="G50" s="17" t="n"/>
    </row>
    <row r="51">
      <c r="A51" s="14" t="n"/>
      <c r="B51" s="15" t="n"/>
      <c r="C51" s="15" t="n"/>
      <c r="D51" s="15" t="n"/>
      <c r="E51" s="16" t="n"/>
      <c r="F51" s="15" t="n"/>
      <c r="G51" s="14" t="n"/>
    </row>
    <row r="52">
      <c r="A52" s="17" t="n"/>
      <c r="B52" s="12" t="n"/>
      <c r="C52" s="12" t="n"/>
      <c r="D52" s="12" t="n"/>
      <c r="E52" s="18" t="n"/>
      <c r="F52" s="12" t="n"/>
      <c r="G52" s="17" t="n"/>
    </row>
    <row r="53">
      <c r="A53" s="14" t="n"/>
      <c r="B53" s="15" t="n"/>
      <c r="C53" s="15" t="n"/>
      <c r="D53" s="15" t="n"/>
      <c r="E53" s="16" t="n"/>
      <c r="F53" s="15" t="n"/>
      <c r="G53" s="14" t="n"/>
    </row>
    <row r="54">
      <c r="A54" s="17" t="n"/>
      <c r="B54" s="12" t="n"/>
      <c r="C54" s="12" t="n"/>
      <c r="D54" s="12" t="n"/>
      <c r="E54" s="18" t="n"/>
      <c r="F54" s="12" t="n"/>
      <c r="G54" s="17" t="n"/>
    </row>
    <row r="55">
      <c r="A55" s="14" t="n"/>
      <c r="B55" s="15" t="n"/>
      <c r="C55" s="15" t="n"/>
      <c r="D55" s="15" t="n"/>
      <c r="E55" s="16" t="n"/>
      <c r="F55" s="15" t="n"/>
      <c r="G55" s="14" t="n"/>
    </row>
    <row r="56">
      <c r="A56" s="17" t="n"/>
      <c r="B56" s="12" t="n"/>
      <c r="C56" s="12" t="n"/>
      <c r="D56" s="12" t="n"/>
      <c r="E56" s="18" t="n"/>
      <c r="F56" s="12" t="n"/>
      <c r="G56" s="17" t="n"/>
    </row>
    <row r="57">
      <c r="A57" s="14" t="n"/>
      <c r="B57" s="15" t="n"/>
      <c r="C57" s="15" t="n"/>
      <c r="D57" s="15" t="n"/>
      <c r="E57" s="16" t="n"/>
      <c r="F57" s="15" t="n"/>
      <c r="G57" s="14" t="n"/>
    </row>
    <row r="58">
      <c r="A58" s="17" t="n"/>
      <c r="B58" s="12" t="n"/>
      <c r="C58" s="12" t="n"/>
      <c r="D58" s="12" t="n"/>
      <c r="E58" s="18" t="n"/>
      <c r="F58" s="12" t="n"/>
      <c r="G58" s="17" t="n"/>
    </row>
    <row r="59">
      <c r="A59" s="14" t="n"/>
      <c r="B59" s="15" t="n"/>
      <c r="C59" s="15" t="n"/>
      <c r="D59" s="15" t="n"/>
      <c r="E59" s="16" t="n"/>
      <c r="F59" s="15" t="n"/>
      <c r="G59" s="14" t="n"/>
    </row>
    <row r="60">
      <c r="A60" s="17" t="n"/>
      <c r="B60" s="12" t="n"/>
      <c r="C60" s="12" t="n"/>
      <c r="D60" s="12" t="n"/>
      <c r="E60" s="18" t="n"/>
      <c r="F60" s="12" t="n"/>
      <c r="G60" s="17" t="n"/>
    </row>
    <row r="61">
      <c r="A61" s="14" t="n"/>
      <c r="B61" s="15" t="n"/>
      <c r="C61" s="15" t="n"/>
      <c r="D61" s="15" t="n"/>
      <c r="E61" s="16" t="n"/>
      <c r="F61" s="15" t="n"/>
      <c r="G61" s="14" t="n"/>
    </row>
    <row r="62">
      <c r="A62" s="17" t="n"/>
      <c r="B62" s="12" t="n"/>
      <c r="C62" s="12" t="n"/>
      <c r="D62" s="12" t="n"/>
      <c r="E62" s="18" t="n"/>
      <c r="F62" s="12" t="n"/>
      <c r="G62" s="17" t="n"/>
    </row>
    <row r="63">
      <c r="A63" s="14" t="n"/>
      <c r="B63" s="15" t="n"/>
      <c r="C63" s="15" t="n"/>
      <c r="D63" s="15" t="n"/>
      <c r="E63" s="16" t="n"/>
      <c r="F63" s="15" t="n"/>
      <c r="G63" s="14" t="n"/>
    </row>
    <row r="64">
      <c r="A64" s="17" t="n"/>
      <c r="B64" s="12" t="n"/>
      <c r="C64" s="12" t="n"/>
      <c r="D64" s="12" t="n"/>
      <c r="E64" s="18" t="n"/>
      <c r="F64" s="12" t="n"/>
      <c r="G64" s="17" t="n"/>
    </row>
    <row r="65">
      <c r="A65" s="14" t="n"/>
      <c r="B65" s="15" t="n"/>
      <c r="C65" s="15" t="n"/>
      <c r="D65" s="15" t="n"/>
      <c r="E65" s="16" t="n"/>
      <c r="F65" s="15" t="n"/>
      <c r="G65" s="14" t="n"/>
    </row>
    <row r="66">
      <c r="A66" s="17" t="n"/>
      <c r="B66" s="12" t="n"/>
      <c r="C66" s="12" t="n"/>
      <c r="D66" s="12" t="n"/>
      <c r="E66" s="18" t="n"/>
      <c r="F66" s="12" t="n"/>
      <c r="G66" s="17" t="n"/>
    </row>
    <row r="67">
      <c r="A67" s="14" t="n"/>
      <c r="B67" s="15" t="n"/>
      <c r="C67" s="15" t="n"/>
      <c r="D67" s="15" t="n"/>
      <c r="E67" s="16" t="n"/>
      <c r="F67" s="15" t="n"/>
      <c r="G67" s="14" t="n"/>
    </row>
    <row r="68">
      <c r="A68" s="17" t="n"/>
      <c r="B68" s="12" t="n"/>
      <c r="C68" s="12" t="n"/>
      <c r="D68" s="12" t="n"/>
      <c r="E68" s="18" t="n"/>
      <c r="F68" s="12" t="n"/>
      <c r="G68" s="17" t="n"/>
    </row>
    <row r="69">
      <c r="A69" s="14" t="n"/>
      <c r="B69" s="15" t="n"/>
      <c r="C69" s="15" t="n"/>
      <c r="D69" s="15" t="n"/>
      <c r="E69" s="16" t="n"/>
      <c r="F69" s="15" t="n"/>
      <c r="G69" s="14" t="n"/>
    </row>
    <row r="70">
      <c r="A70" s="17" t="n"/>
      <c r="B70" s="12" t="n"/>
      <c r="C70" s="12" t="n"/>
      <c r="D70" s="12" t="n"/>
      <c r="E70" s="18" t="n"/>
      <c r="F70" s="12" t="n"/>
      <c r="G70" s="17" t="n"/>
    </row>
    <row r="71">
      <c r="A71" s="14" t="n"/>
      <c r="B71" s="15" t="n"/>
      <c r="C71" s="15" t="n"/>
      <c r="D71" s="15" t="n"/>
      <c r="E71" s="16" t="n"/>
      <c r="F71" s="15" t="n"/>
      <c r="G71" s="14" t="n"/>
    </row>
    <row r="72">
      <c r="A72" s="17" t="n"/>
      <c r="B72" s="12" t="n"/>
      <c r="C72" s="12" t="n"/>
      <c r="D72" s="12" t="n"/>
      <c r="E72" s="18" t="n"/>
      <c r="F72" s="12" t="n"/>
      <c r="G72" s="17" t="n"/>
    </row>
    <row r="73">
      <c r="A73" s="14" t="n"/>
      <c r="B73" s="15" t="n"/>
      <c r="C73" s="15" t="n"/>
      <c r="D73" s="15" t="n"/>
      <c r="E73" s="16" t="n"/>
      <c r="F73" s="15" t="n"/>
      <c r="G73" s="14" t="n"/>
    </row>
    <row r="74">
      <c r="A74" s="17" t="n"/>
      <c r="B74" s="12" t="n"/>
      <c r="C74" s="12" t="n"/>
      <c r="D74" s="12" t="n"/>
      <c r="E74" s="18" t="n"/>
      <c r="F74" s="12" t="n"/>
      <c r="G74" s="17" t="n"/>
    </row>
    <row r="75">
      <c r="A75" s="14" t="n"/>
      <c r="B75" s="15" t="n"/>
      <c r="C75" s="15" t="n"/>
      <c r="D75" s="15" t="n"/>
      <c r="E75" s="16" t="n"/>
      <c r="F75" s="15" t="n"/>
      <c r="G75" s="14" t="n"/>
    </row>
    <row r="76">
      <c r="A76" s="17" t="n"/>
      <c r="B76" s="12" t="n"/>
      <c r="C76" s="12" t="n"/>
      <c r="D76" s="12" t="n"/>
      <c r="E76" s="18" t="n"/>
      <c r="F76" s="12" t="n"/>
      <c r="G76" s="17" t="n"/>
    </row>
    <row r="77">
      <c r="A77" s="14" t="n"/>
      <c r="B77" s="15" t="n"/>
      <c r="C77" s="15" t="n"/>
      <c r="D77" s="15" t="n"/>
      <c r="E77" s="16" t="n"/>
      <c r="F77" s="15" t="n"/>
      <c r="G77" s="14" t="n"/>
    </row>
    <row r="78">
      <c r="A78" s="17" t="n"/>
      <c r="B78" s="12" t="n"/>
      <c r="C78" s="12" t="n"/>
      <c r="D78" s="12" t="n"/>
      <c r="E78" s="18" t="n"/>
      <c r="F78" s="12" t="n"/>
      <c r="G78" s="17" t="n"/>
    </row>
    <row r="79">
      <c r="A79" s="14" t="n"/>
      <c r="B79" s="15" t="n"/>
      <c r="C79" s="15" t="n"/>
      <c r="D79" s="15" t="n"/>
      <c r="E79" s="16" t="n"/>
      <c r="F79" s="15" t="n"/>
      <c r="G79" s="14" t="n"/>
    </row>
    <row r="80">
      <c r="A80" s="17" t="n"/>
      <c r="B80" s="12" t="n"/>
      <c r="C80" s="12" t="n"/>
      <c r="D80" s="12" t="n"/>
      <c r="E80" s="18" t="n"/>
      <c r="F80" s="12" t="n"/>
      <c r="G80" s="17" t="n"/>
    </row>
    <row r="81">
      <c r="A81" s="14" t="n"/>
      <c r="B81" s="15" t="n"/>
      <c r="C81" s="15" t="n"/>
      <c r="D81" s="15" t="n"/>
      <c r="E81" s="16" t="n"/>
      <c r="F81" s="15" t="n"/>
      <c r="G81" s="14" t="n"/>
    </row>
    <row r="82">
      <c r="A82" s="17" t="n"/>
      <c r="B82" s="12" t="n"/>
      <c r="C82" s="12" t="n"/>
      <c r="D82" s="12" t="n"/>
      <c r="E82" s="18" t="n"/>
      <c r="F82" s="12" t="n"/>
      <c r="G82" s="17" t="n"/>
    </row>
    <row r="83">
      <c r="A83" s="14" t="n"/>
      <c r="B83" s="15" t="n"/>
      <c r="C83" s="15" t="n"/>
      <c r="D83" s="15" t="n"/>
      <c r="E83" s="16" t="n"/>
      <c r="F83" s="15" t="n"/>
      <c r="G83" s="14" t="n"/>
    </row>
    <row r="84">
      <c r="A84" s="17" t="n"/>
      <c r="B84" s="12" t="n"/>
      <c r="C84" s="12" t="n"/>
      <c r="D84" s="12" t="n"/>
      <c r="E84" s="18" t="n"/>
      <c r="F84" s="12" t="n"/>
      <c r="G84" s="17" t="n"/>
    </row>
    <row r="85">
      <c r="A85" s="14" t="n"/>
      <c r="B85" s="15" t="n"/>
      <c r="C85" s="15" t="n"/>
      <c r="D85" s="15" t="n"/>
      <c r="E85" s="16" t="n"/>
      <c r="F85" s="15" t="n"/>
      <c r="G85" s="14" t="n"/>
    </row>
    <row r="86">
      <c r="A86" s="17" t="n"/>
      <c r="B86" s="12" t="n"/>
      <c r="C86" s="12" t="n"/>
      <c r="D86" s="12" t="n"/>
      <c r="E86" s="18" t="n"/>
      <c r="F86" s="12" t="n"/>
      <c r="G86" s="17" t="n"/>
    </row>
    <row r="87">
      <c r="A87" s="14" t="n"/>
      <c r="B87" s="15" t="n"/>
      <c r="C87" s="15" t="n"/>
      <c r="D87" s="15" t="n"/>
      <c r="E87" s="16" t="n"/>
      <c r="F87" s="15" t="n"/>
      <c r="G87" s="14" t="n"/>
    </row>
    <row r="88">
      <c r="A88" s="17" t="n"/>
      <c r="B88" s="12" t="n"/>
      <c r="C88" s="12" t="n"/>
      <c r="D88" s="12" t="n"/>
      <c r="E88" s="18" t="n"/>
      <c r="F88" s="12" t="n"/>
      <c r="G88" s="17" t="n"/>
    </row>
    <row r="89">
      <c r="A89" s="14" t="n"/>
      <c r="B89" s="15" t="n"/>
      <c r="C89" s="15" t="n"/>
      <c r="D89" s="15" t="n"/>
      <c r="E89" s="16" t="n"/>
      <c r="F89" s="15" t="n"/>
      <c r="G89" s="14" t="n"/>
    </row>
    <row r="90">
      <c r="A90" s="17" t="n"/>
      <c r="B90" s="12" t="n"/>
      <c r="C90" s="12" t="n"/>
      <c r="D90" s="12" t="n"/>
      <c r="E90" s="18" t="n"/>
      <c r="F90" s="12" t="n"/>
      <c r="G90" s="17" t="n"/>
    </row>
    <row r="91">
      <c r="A91" s="14" t="n"/>
      <c r="B91" s="15" t="n"/>
      <c r="C91" s="15" t="n"/>
      <c r="D91" s="15" t="n"/>
      <c r="E91" s="16" t="n"/>
      <c r="F91" s="15" t="n"/>
      <c r="G91" s="14" t="n"/>
    </row>
    <row r="92">
      <c r="A92" s="17" t="n"/>
      <c r="B92" s="12" t="n"/>
      <c r="C92" s="12" t="n"/>
      <c r="D92" s="12" t="n"/>
      <c r="E92" s="18" t="n"/>
      <c r="F92" s="12" t="n"/>
      <c r="G92" s="17" t="n"/>
    </row>
    <row r="93">
      <c r="A93" s="14" t="n"/>
      <c r="B93" s="15" t="n"/>
      <c r="C93" s="15" t="n"/>
      <c r="D93" s="15" t="n"/>
      <c r="E93" s="16" t="n"/>
      <c r="F93" s="15" t="n"/>
      <c r="G93" s="14" t="n"/>
    </row>
    <row r="94">
      <c r="A94" s="17" t="n"/>
      <c r="B94" s="12" t="n"/>
      <c r="C94" s="12" t="n"/>
      <c r="D94" s="12" t="n"/>
      <c r="E94" s="18" t="n"/>
      <c r="F94" s="12" t="n"/>
      <c r="G94" s="17" t="n"/>
    </row>
    <row r="95">
      <c r="A95" s="14" t="n"/>
      <c r="B95" s="15" t="n"/>
      <c r="C95" s="15" t="n"/>
      <c r="D95" s="15" t="n"/>
      <c r="E95" s="16" t="n"/>
      <c r="F95" s="15" t="n"/>
      <c r="G95" s="14" t="n"/>
    </row>
    <row r="96">
      <c r="A96" s="17" t="n"/>
      <c r="B96" s="12" t="n"/>
      <c r="C96" s="12" t="n"/>
      <c r="D96" s="12" t="n"/>
      <c r="E96" s="18" t="n"/>
      <c r="F96" s="12" t="n"/>
      <c r="G96" s="17" t="n"/>
    </row>
    <row r="97">
      <c r="A97" s="14" t="n"/>
      <c r="B97" s="15" t="n"/>
      <c r="C97" s="15" t="n"/>
      <c r="D97" s="15" t="n"/>
      <c r="E97" s="16" t="n"/>
      <c r="F97" s="15" t="n"/>
      <c r="G97" s="14" t="n"/>
    </row>
    <row r="98">
      <c r="A98" s="17" t="n"/>
      <c r="B98" s="12" t="n"/>
      <c r="C98" s="12" t="n"/>
      <c r="D98" s="12" t="n"/>
      <c r="E98" s="18" t="n"/>
      <c r="F98" s="12" t="n"/>
      <c r="G98" s="17" t="n"/>
    </row>
    <row r="99">
      <c r="A99" s="14" t="n"/>
      <c r="B99" s="15" t="n"/>
      <c r="C99" s="15" t="n"/>
      <c r="D99" s="15" t="n"/>
      <c r="E99" s="16" t="n"/>
      <c r="F99" s="15" t="n"/>
      <c r="G99" s="14" t="n"/>
    </row>
    <row r="100">
      <c r="A100" s="17" t="n"/>
      <c r="B100" s="12" t="n"/>
      <c r="C100" s="12" t="n"/>
      <c r="D100" s="12" t="n"/>
      <c r="E100" s="18" t="n"/>
      <c r="F100" s="12" t="n"/>
      <c r="G100" s="17" t="n"/>
    </row>
    <row r="101">
      <c r="A101" s="14" t="n"/>
      <c r="B101" s="15" t="n"/>
      <c r="C101" s="15" t="n"/>
      <c r="D101" s="15" t="n"/>
      <c r="E101" s="16" t="n"/>
      <c r="F101" s="15" t="n"/>
      <c r="G101" s="14" t="n"/>
    </row>
    <row r="102">
      <c r="A102" s="17" t="n"/>
      <c r="B102" s="12" t="n"/>
      <c r="C102" s="12" t="n"/>
      <c r="D102" s="12" t="n"/>
      <c r="E102" s="18" t="n"/>
      <c r="F102" s="12" t="n"/>
      <c r="G102" s="17" t="n"/>
    </row>
    <row r="103">
      <c r="A103" s="14" t="n"/>
      <c r="B103" s="15" t="n"/>
      <c r="C103" s="15" t="n"/>
      <c r="D103" s="15" t="n"/>
      <c r="E103" s="16" t="n"/>
      <c r="F103" s="15" t="n"/>
      <c r="G103" s="14" t="n"/>
    </row>
    <row r="104">
      <c r="A104" s="17" t="n"/>
      <c r="B104" s="12" t="n"/>
      <c r="C104" s="12" t="n"/>
      <c r="D104" s="12" t="n"/>
      <c r="E104" s="18" t="n"/>
      <c r="F104" s="12" t="n"/>
      <c r="G104" s="17" t="n"/>
    </row>
    <row r="105">
      <c r="A105" s="14" t="n"/>
      <c r="B105" s="15" t="n"/>
      <c r="C105" s="15" t="n"/>
      <c r="D105" s="15" t="n"/>
      <c r="E105" s="16" t="n"/>
      <c r="F105" s="15" t="n"/>
      <c r="G105" s="14" t="n"/>
    </row>
    <row r="106">
      <c r="A106" s="17" t="n"/>
      <c r="B106" s="12" t="n"/>
      <c r="C106" s="12" t="n"/>
      <c r="D106" s="12" t="n"/>
      <c r="E106" s="18" t="n"/>
      <c r="F106" s="12" t="n"/>
      <c r="G106" s="17" t="n"/>
    </row>
    <row r="107">
      <c r="A107" s="14" t="n"/>
      <c r="B107" s="15" t="n"/>
      <c r="C107" s="15" t="n"/>
      <c r="D107" s="15" t="n"/>
      <c r="E107" s="16" t="n"/>
      <c r="F107" s="15" t="n"/>
      <c r="G107" s="14" t="n"/>
    </row>
    <row r="108">
      <c r="A108" s="17" t="n"/>
      <c r="B108" s="12" t="n"/>
      <c r="C108" s="12" t="n"/>
      <c r="D108" s="12" t="n"/>
      <c r="E108" s="18" t="n"/>
      <c r="F108" s="12" t="n"/>
      <c r="G108" s="17" t="n"/>
    </row>
    <row r="109">
      <c r="A109" s="14" t="n"/>
      <c r="B109" s="15" t="n"/>
      <c r="C109" s="15" t="n"/>
      <c r="D109" s="15" t="n"/>
      <c r="E109" s="16" t="n"/>
      <c r="F109" s="15" t="n"/>
      <c r="G109" s="14" t="n"/>
    </row>
    <row r="110">
      <c r="A110" s="17" t="n"/>
      <c r="B110" s="12" t="n"/>
      <c r="C110" s="12" t="n"/>
      <c r="D110" s="12" t="n"/>
      <c r="E110" s="18" t="n"/>
      <c r="F110" s="12" t="n"/>
      <c r="G110" s="17" t="n"/>
    </row>
    <row r="111">
      <c r="A111" s="14" t="n"/>
      <c r="B111" s="15" t="n"/>
      <c r="C111" s="15" t="n"/>
      <c r="D111" s="15" t="n"/>
      <c r="E111" s="16" t="n"/>
      <c r="F111" s="15" t="n"/>
      <c r="G111" s="14" t="n"/>
    </row>
    <row r="112">
      <c r="A112" s="17" t="n"/>
      <c r="B112" s="12" t="n"/>
      <c r="C112" s="12" t="n"/>
      <c r="D112" s="12" t="n"/>
      <c r="E112" s="18" t="n"/>
      <c r="F112" s="12" t="n"/>
      <c r="G112" s="17" t="n"/>
    </row>
    <row r="113">
      <c r="A113" s="14" t="n"/>
      <c r="B113" s="15" t="n"/>
      <c r="C113" s="15" t="n"/>
      <c r="D113" s="15" t="n"/>
      <c r="E113" s="16" t="n"/>
      <c r="F113" s="15" t="n"/>
      <c r="G113" s="14" t="n"/>
    </row>
    <row r="114">
      <c r="A114" s="17" t="n"/>
      <c r="B114" s="12" t="n"/>
      <c r="C114" s="12" t="n"/>
      <c r="D114" s="12" t="n"/>
      <c r="E114" s="18" t="n"/>
      <c r="F114" s="12" t="n"/>
      <c r="G114" s="17" t="n"/>
    </row>
    <row r="115">
      <c r="A115" s="14" t="n"/>
      <c r="B115" s="15" t="n"/>
      <c r="C115" s="15" t="n"/>
      <c r="D115" s="15" t="n"/>
      <c r="E115" s="16" t="n"/>
      <c r="F115" s="15" t="n"/>
      <c r="G115" s="14" t="n"/>
    </row>
    <row r="116">
      <c r="A116" s="17" t="n"/>
      <c r="B116" s="12" t="n"/>
      <c r="C116" s="12" t="n"/>
      <c r="D116" s="12" t="n"/>
      <c r="E116" s="18" t="n"/>
      <c r="F116" s="12" t="n"/>
      <c r="G116" s="17" t="n"/>
    </row>
    <row r="117">
      <c r="A117" s="14" t="n"/>
      <c r="B117" s="15" t="n"/>
      <c r="C117" s="15" t="n"/>
      <c r="D117" s="15" t="n"/>
      <c r="E117" s="16" t="n"/>
      <c r="F117" s="15" t="n"/>
      <c r="G117" s="14" t="n"/>
    </row>
    <row r="118">
      <c r="A118" s="17" t="n"/>
      <c r="B118" s="12" t="n"/>
      <c r="C118" s="12" t="n"/>
      <c r="D118" s="12" t="n"/>
      <c r="E118" s="18" t="n"/>
      <c r="F118" s="12" t="n"/>
      <c r="G118" s="17" t="n"/>
    </row>
    <row r="119">
      <c r="A119" s="14" t="n"/>
      <c r="B119" s="15" t="n"/>
      <c r="C119" s="15" t="n"/>
      <c r="D119" s="15" t="n"/>
      <c r="E119" s="16" t="n"/>
      <c r="F119" s="15" t="n"/>
      <c r="G119" s="14" t="n"/>
    </row>
    <row r="120">
      <c r="A120" s="17" t="n"/>
      <c r="B120" s="12" t="n"/>
      <c r="C120" s="12" t="n"/>
      <c r="D120" s="12" t="n"/>
      <c r="E120" s="18" t="n"/>
      <c r="F120" s="12" t="n"/>
      <c r="G120" s="17" t="n"/>
    </row>
    <row r="121">
      <c r="A121" s="14" t="n"/>
      <c r="B121" s="15" t="n"/>
      <c r="C121" s="15" t="n"/>
      <c r="D121" s="15" t="n"/>
      <c r="E121" s="16" t="n"/>
      <c r="F121" s="15" t="n"/>
      <c r="G121" s="14" t="n"/>
    </row>
    <row r="122">
      <c r="A122" s="17" t="n"/>
      <c r="B122" s="12" t="n"/>
      <c r="C122" s="12" t="n"/>
      <c r="D122" s="12" t="n"/>
      <c r="E122" s="18" t="n"/>
      <c r="F122" s="12" t="n"/>
      <c r="G122" s="17" t="n"/>
    </row>
    <row r="123">
      <c r="A123" s="14" t="n"/>
      <c r="B123" s="15" t="n"/>
      <c r="C123" s="15" t="n"/>
      <c r="D123" s="15" t="n"/>
      <c r="E123" s="16" t="n"/>
      <c r="F123" s="15" t="n"/>
      <c r="G123" s="14" t="n"/>
    </row>
    <row r="124">
      <c r="A124" s="17" t="n"/>
      <c r="B124" s="12" t="n"/>
      <c r="C124" s="12" t="n"/>
      <c r="D124" s="12" t="n"/>
      <c r="E124" s="18" t="n"/>
      <c r="F124" s="12" t="n"/>
      <c r="G124" s="17" t="n"/>
    </row>
    <row r="125">
      <c r="A125" s="14" t="n"/>
      <c r="B125" s="15" t="n"/>
      <c r="C125" s="15" t="n"/>
      <c r="D125" s="15" t="n"/>
      <c r="E125" s="16" t="n"/>
      <c r="F125" s="15" t="n"/>
      <c r="G125" s="14" t="n"/>
    </row>
    <row r="126">
      <c r="A126" s="17" t="n"/>
      <c r="B126" s="12" t="n"/>
      <c r="C126" s="12" t="n"/>
      <c r="D126" s="12" t="n"/>
      <c r="E126" s="18" t="n"/>
      <c r="F126" s="12" t="n"/>
      <c r="G126" s="17" t="n"/>
    </row>
    <row r="127">
      <c r="A127" s="14" t="n"/>
      <c r="B127" s="15" t="n"/>
      <c r="C127" s="15" t="n"/>
      <c r="D127" s="15" t="n"/>
      <c r="E127" s="16" t="n"/>
      <c r="F127" s="15" t="n"/>
      <c r="G127" s="14" t="n"/>
    </row>
    <row r="128">
      <c r="A128" s="17" t="n"/>
      <c r="B128" s="12" t="n"/>
      <c r="C128" s="12" t="n"/>
      <c r="D128" s="12" t="n"/>
      <c r="E128" s="18" t="n"/>
      <c r="F128" s="12" t="n"/>
      <c r="G128" s="17" t="n"/>
    </row>
    <row r="129">
      <c r="A129" s="14" t="n"/>
      <c r="B129" s="15" t="n"/>
      <c r="C129" s="15" t="n"/>
      <c r="D129" s="15" t="n"/>
      <c r="E129" s="16" t="n"/>
      <c r="F129" s="15" t="n"/>
      <c r="G129" s="14" t="n"/>
    </row>
    <row r="130">
      <c r="A130" s="17" t="n"/>
      <c r="B130" s="12" t="n"/>
      <c r="C130" s="12" t="n"/>
      <c r="D130" s="12" t="n"/>
      <c r="E130" s="18" t="n"/>
      <c r="F130" s="12" t="n"/>
      <c r="G130" s="17" t="n"/>
    </row>
    <row r="131">
      <c r="A131" s="14" t="n"/>
      <c r="B131" s="15" t="n"/>
      <c r="C131" s="15" t="n"/>
      <c r="D131" s="15" t="n"/>
      <c r="E131" s="16" t="n"/>
      <c r="F131" s="15" t="n"/>
      <c r="G131" s="14" t="n"/>
    </row>
    <row r="132">
      <c r="A132" s="17" t="n"/>
      <c r="B132" s="12" t="n"/>
      <c r="C132" s="12" t="n"/>
      <c r="D132" s="12" t="n"/>
      <c r="E132" s="18" t="n"/>
      <c r="F132" s="12" t="n"/>
      <c r="G132" s="17" t="n"/>
    </row>
    <row r="133">
      <c r="A133" s="14" t="n"/>
      <c r="B133" s="15" t="n"/>
      <c r="C133" s="15" t="n"/>
      <c r="D133" s="15" t="n"/>
      <c r="E133" s="16" t="n"/>
      <c r="F133" s="15" t="n"/>
      <c r="G133" s="14" t="n"/>
    </row>
    <row r="134">
      <c r="A134" s="17" t="n"/>
      <c r="B134" s="12" t="n"/>
      <c r="C134" s="12" t="n"/>
      <c r="D134" s="12" t="n"/>
      <c r="E134" s="18" t="n"/>
      <c r="F134" s="12" t="n"/>
      <c r="G134" s="17" t="n"/>
    </row>
    <row r="135">
      <c r="A135" s="14" t="n"/>
      <c r="B135" s="15" t="n"/>
      <c r="C135" s="15" t="n"/>
      <c r="D135" s="15" t="n"/>
      <c r="E135" s="16" t="n"/>
      <c r="F135" s="15" t="n"/>
      <c r="G135" s="14" t="n"/>
    </row>
    <row r="136">
      <c r="A136" s="17" t="n"/>
      <c r="B136" s="12" t="n"/>
      <c r="C136" s="12" t="n"/>
      <c r="D136" s="12" t="n"/>
      <c r="E136" s="18" t="n"/>
      <c r="F136" s="12" t="n"/>
      <c r="G136" s="17" t="n"/>
    </row>
    <row r="137">
      <c r="A137" s="14" t="n"/>
      <c r="B137" s="15" t="n"/>
      <c r="C137" s="15" t="n"/>
      <c r="D137" s="15" t="n"/>
      <c r="E137" s="16" t="n"/>
      <c r="F137" s="15" t="n"/>
      <c r="G137" s="14" t="n"/>
    </row>
    <row r="138">
      <c r="A138" s="17" t="n"/>
      <c r="B138" s="12" t="n"/>
      <c r="C138" s="12" t="n"/>
      <c r="D138" s="12" t="n"/>
      <c r="E138" s="18" t="n"/>
      <c r="F138" s="12" t="n"/>
      <c r="G138" s="17" t="n"/>
    </row>
    <row r="139">
      <c r="A139" s="14" t="n"/>
      <c r="B139" s="15" t="n"/>
      <c r="C139" s="15" t="n"/>
      <c r="D139" s="15" t="n"/>
      <c r="E139" s="16" t="n"/>
      <c r="F139" s="15" t="n"/>
      <c r="G139" s="14" t="n"/>
    </row>
    <row r="140">
      <c r="A140" s="17" t="n"/>
      <c r="B140" s="12" t="n"/>
      <c r="C140" s="12" t="n"/>
      <c r="D140" s="12" t="n"/>
      <c r="E140" s="18" t="n"/>
      <c r="F140" s="12" t="n"/>
      <c r="G140" s="17" t="n"/>
    </row>
    <row r="141">
      <c r="A141" s="14" t="n"/>
      <c r="B141" s="15" t="n"/>
      <c r="C141" s="15" t="n"/>
      <c r="D141" s="15" t="n"/>
      <c r="E141" s="16" t="n"/>
      <c r="F141" s="15" t="n"/>
      <c r="G141" s="14" t="n"/>
    </row>
    <row r="142">
      <c r="A142" s="17" t="n"/>
      <c r="B142" s="12" t="n"/>
      <c r="C142" s="12" t="n"/>
      <c r="D142" s="12" t="n"/>
      <c r="E142" s="18" t="n"/>
      <c r="F142" s="12" t="n"/>
      <c r="G142" s="17" t="n"/>
    </row>
    <row r="143">
      <c r="A143" s="14" t="n"/>
      <c r="B143" s="15" t="n"/>
      <c r="C143" s="15" t="n"/>
      <c r="D143" s="15" t="n"/>
      <c r="E143" s="16" t="n"/>
      <c r="F143" s="15" t="n"/>
      <c r="G143" s="14" t="n"/>
    </row>
    <row r="144">
      <c r="A144" s="17" t="n"/>
      <c r="B144" s="12" t="n"/>
      <c r="C144" s="12" t="n"/>
      <c r="D144" s="12" t="n"/>
      <c r="E144" s="18" t="n"/>
      <c r="F144" s="12" t="n"/>
      <c r="G144" s="17" t="n"/>
    </row>
    <row r="145">
      <c r="A145" s="14" t="n"/>
      <c r="B145" s="15" t="n"/>
      <c r="C145" s="15" t="n"/>
      <c r="D145" s="15" t="n"/>
      <c r="E145" s="16" t="n"/>
      <c r="F145" s="15" t="n"/>
      <c r="G145" s="14" t="n"/>
    </row>
    <row r="146">
      <c r="A146" s="17" t="n"/>
      <c r="B146" s="12" t="n"/>
      <c r="C146" s="12" t="n"/>
      <c r="D146" s="12" t="n"/>
      <c r="E146" s="18" t="n"/>
      <c r="F146" s="12" t="n"/>
      <c r="G146" s="17" t="n"/>
    </row>
    <row r="147">
      <c r="A147" s="14" t="n"/>
      <c r="B147" s="15" t="n"/>
      <c r="C147" s="15" t="n"/>
      <c r="D147" s="15" t="n"/>
      <c r="E147" s="16" t="n"/>
      <c r="F147" s="15" t="n"/>
      <c r="G147" s="14" t="n"/>
    </row>
    <row r="148">
      <c r="A148" s="17" t="n"/>
      <c r="B148" s="12" t="n"/>
      <c r="C148" s="12" t="n"/>
      <c r="D148" s="12" t="n"/>
      <c r="E148" s="18" t="n"/>
      <c r="F148" s="12" t="n"/>
      <c r="G148" s="17" t="n"/>
    </row>
    <row r="149">
      <c r="A149" s="14" t="n"/>
      <c r="B149" s="15" t="n"/>
      <c r="C149" s="15" t="n"/>
      <c r="D149" s="15" t="n"/>
      <c r="E149" s="16" t="n"/>
      <c r="F149" s="15" t="n"/>
      <c r="G149" s="14" t="n"/>
    </row>
    <row r="150">
      <c r="A150" s="17" t="n"/>
      <c r="B150" s="12" t="n"/>
      <c r="C150" s="12" t="n"/>
      <c r="D150" s="12" t="n"/>
      <c r="E150" s="18" t="n"/>
      <c r="F150" s="12" t="n"/>
      <c r="G150" s="17" t="n"/>
    </row>
    <row r="151">
      <c r="A151" s="14" t="n"/>
      <c r="B151" s="15" t="n"/>
      <c r="C151" s="15" t="n"/>
      <c r="D151" s="15" t="n"/>
      <c r="E151" s="16" t="n"/>
      <c r="F151" s="15" t="n"/>
      <c r="G151" s="14" t="n"/>
    </row>
    <row r="152">
      <c r="A152" s="17" t="n"/>
      <c r="B152" s="12" t="n"/>
      <c r="C152" s="12" t="n"/>
      <c r="D152" s="12" t="n"/>
      <c r="E152" s="18" t="n"/>
      <c r="F152" s="12" t="n"/>
      <c r="G152" s="17" t="n"/>
    </row>
    <row r="153">
      <c r="A153" s="14" t="n"/>
      <c r="B153" s="15" t="n"/>
      <c r="C153" s="15" t="n"/>
      <c r="D153" s="15" t="n"/>
      <c r="E153" s="16" t="n"/>
      <c r="F153" s="15" t="n"/>
      <c r="G153" s="14" t="n"/>
    </row>
    <row r="154">
      <c r="A154" s="17" t="n"/>
      <c r="B154" s="12" t="n"/>
      <c r="C154" s="12" t="n"/>
      <c r="D154" s="12" t="n"/>
      <c r="E154" s="18" t="n"/>
      <c r="F154" s="12" t="n"/>
      <c r="G154" s="17" t="n"/>
    </row>
    <row r="155">
      <c r="A155" s="14" t="n"/>
      <c r="B155" s="15" t="n"/>
      <c r="C155" s="15" t="n"/>
      <c r="D155" s="15" t="n"/>
      <c r="E155" s="16" t="n"/>
      <c r="F155" s="15" t="n"/>
      <c r="G155" s="14" t="n"/>
    </row>
    <row r="156">
      <c r="A156" s="17" t="n"/>
      <c r="B156" s="12" t="n"/>
      <c r="C156" s="12" t="n"/>
      <c r="D156" s="12" t="n"/>
      <c r="E156" s="18" t="n"/>
      <c r="F156" s="12" t="n"/>
      <c r="G156" s="17" t="n"/>
    </row>
    <row r="157">
      <c r="A157" s="14" t="n"/>
      <c r="B157" s="15" t="n"/>
      <c r="C157" s="15" t="n"/>
      <c r="D157" s="15" t="n"/>
      <c r="E157" s="16" t="n"/>
      <c r="F157" s="15" t="n"/>
      <c r="G157" s="14" t="n"/>
    </row>
    <row r="158">
      <c r="A158" s="17" t="n"/>
      <c r="B158" s="12" t="n"/>
      <c r="C158" s="12" t="n"/>
      <c r="D158" s="12" t="n"/>
      <c r="E158" s="18" t="n"/>
      <c r="F158" s="12" t="n"/>
      <c r="G158" s="17" t="n"/>
    </row>
    <row r="159">
      <c r="A159" s="14" t="n"/>
      <c r="B159" s="15" t="n"/>
      <c r="C159" s="15" t="n"/>
      <c r="D159" s="15" t="n"/>
      <c r="E159" s="16" t="n"/>
      <c r="F159" s="15" t="n"/>
      <c r="G159" s="14" t="n"/>
    </row>
    <row r="160">
      <c r="A160" s="17" t="n"/>
      <c r="B160" s="12" t="n"/>
      <c r="C160" s="12" t="n"/>
      <c r="D160" s="12" t="n"/>
      <c r="E160" s="18" t="n"/>
      <c r="F160" s="12" t="n"/>
      <c r="G160" s="17" t="n"/>
    </row>
    <row r="161">
      <c r="A161" s="14" t="n"/>
      <c r="B161" s="15" t="n"/>
      <c r="C161" s="15" t="n"/>
      <c r="D161" s="15" t="n"/>
      <c r="E161" s="16" t="n"/>
      <c r="F161" s="15" t="n"/>
      <c r="G161" s="14" t="n"/>
    </row>
    <row r="162">
      <c r="A162" s="17" t="n"/>
      <c r="B162" s="12" t="n"/>
      <c r="C162" s="12" t="n"/>
      <c r="D162" s="12" t="n"/>
      <c r="E162" s="18" t="n"/>
      <c r="F162" s="12" t="n"/>
      <c r="G162" s="17" t="n"/>
    </row>
    <row r="163">
      <c r="A163" s="14" t="n"/>
      <c r="B163" s="15" t="n"/>
      <c r="C163" s="15" t="n"/>
      <c r="D163" s="15" t="n"/>
      <c r="E163" s="16" t="n"/>
      <c r="F163" s="15" t="n"/>
      <c r="G163" s="14" t="n"/>
    </row>
    <row r="164">
      <c r="A164" s="17" t="n"/>
      <c r="B164" s="12" t="n"/>
      <c r="C164" s="12" t="n"/>
      <c r="D164" s="12" t="n"/>
      <c r="E164" s="18" t="n"/>
      <c r="F164" s="12" t="n"/>
      <c r="G164" s="17" t="n"/>
    </row>
    <row r="165">
      <c r="A165" s="14" t="n"/>
      <c r="B165" s="15" t="n"/>
      <c r="C165" s="15" t="n"/>
      <c r="D165" s="15" t="n"/>
      <c r="E165" s="16" t="n"/>
      <c r="F165" s="15" t="n"/>
      <c r="G165" s="14" t="n"/>
    </row>
    <row r="166">
      <c r="A166" s="17" t="n"/>
      <c r="B166" s="12" t="n"/>
      <c r="C166" s="12" t="n"/>
      <c r="D166" s="12" t="n"/>
      <c r="E166" s="18" t="n"/>
      <c r="F166" s="12" t="n"/>
      <c r="G166" s="17" t="n"/>
    </row>
    <row r="167">
      <c r="A167" s="14" t="n"/>
      <c r="B167" s="15" t="n"/>
      <c r="C167" s="15" t="n"/>
      <c r="D167" s="15" t="n"/>
      <c r="E167" s="16" t="n"/>
      <c r="F167" s="15" t="n"/>
      <c r="G167" s="14" t="n"/>
    </row>
    <row r="168">
      <c r="A168" s="17" t="n"/>
      <c r="B168" s="12" t="n"/>
      <c r="C168" s="12" t="n"/>
      <c r="D168" s="12" t="n"/>
      <c r="E168" s="18" t="n"/>
      <c r="F168" s="12" t="n"/>
      <c r="G168" s="17" t="n"/>
    </row>
    <row r="169">
      <c r="A169" s="14" t="n"/>
      <c r="B169" s="15" t="n"/>
      <c r="C169" s="15" t="n"/>
      <c r="D169" s="15" t="n"/>
      <c r="E169" s="16" t="n"/>
      <c r="F169" s="15" t="n"/>
      <c r="G169" s="14" t="n"/>
    </row>
    <row r="170">
      <c r="A170" s="17" t="n"/>
      <c r="B170" s="12" t="n"/>
      <c r="C170" s="12" t="n"/>
      <c r="D170" s="12" t="n"/>
      <c r="E170" s="18" t="n"/>
      <c r="F170" s="12" t="n"/>
      <c r="G170" s="17" t="n"/>
    </row>
    <row r="171">
      <c r="A171" s="14" t="n"/>
      <c r="B171" s="15" t="n"/>
      <c r="C171" s="15" t="n"/>
      <c r="D171" s="15" t="n"/>
      <c r="E171" s="16" t="n"/>
      <c r="F171" s="15" t="n"/>
      <c r="G171" s="14" t="n"/>
    </row>
    <row r="172">
      <c r="A172" s="17" t="n"/>
      <c r="B172" s="12" t="n"/>
      <c r="C172" s="12" t="n"/>
      <c r="D172" s="12" t="n"/>
      <c r="E172" s="18" t="n"/>
      <c r="F172" s="12" t="n"/>
      <c r="G172" s="17" t="n"/>
    </row>
    <row r="173">
      <c r="A173" s="14" t="n"/>
      <c r="B173" s="15" t="n"/>
      <c r="C173" s="15" t="n"/>
      <c r="D173" s="15" t="n"/>
      <c r="E173" s="16" t="n"/>
      <c r="F173" s="15" t="n"/>
      <c r="G173" s="14" t="n"/>
    </row>
    <row r="174">
      <c r="A174" s="17" t="n"/>
      <c r="B174" s="12" t="n"/>
      <c r="C174" s="12" t="n"/>
      <c r="D174" s="12" t="n"/>
      <c r="E174" s="18" t="n"/>
      <c r="F174" s="12" t="n"/>
      <c r="G174" s="17" t="n"/>
    </row>
    <row r="175">
      <c r="A175" s="14" t="n"/>
      <c r="B175" s="15" t="n"/>
      <c r="C175" s="15" t="n"/>
      <c r="D175" s="15" t="n"/>
      <c r="E175" s="16" t="n"/>
      <c r="F175" s="15" t="n"/>
      <c r="G175" s="14" t="n"/>
    </row>
    <row r="176">
      <c r="A176" s="17" t="n"/>
      <c r="B176" s="12" t="n"/>
      <c r="C176" s="12" t="n"/>
      <c r="D176" s="12" t="n"/>
      <c r="E176" s="18" t="n"/>
      <c r="F176" s="12" t="n"/>
      <c r="G176" s="17" t="n"/>
    </row>
    <row r="177">
      <c r="A177" s="14" t="n"/>
      <c r="B177" s="15" t="n"/>
      <c r="C177" s="15" t="n"/>
      <c r="D177" s="15" t="n"/>
      <c r="E177" s="16" t="n"/>
      <c r="F177" s="15" t="n"/>
      <c r="G177" s="14" t="n"/>
    </row>
    <row r="178">
      <c r="A178" s="17" t="n"/>
      <c r="B178" s="12" t="n"/>
      <c r="C178" s="12" t="n"/>
      <c r="D178" s="12" t="n"/>
      <c r="E178" s="18" t="n"/>
      <c r="F178" s="12" t="n"/>
      <c r="G178" s="17" t="n"/>
    </row>
    <row r="179">
      <c r="A179" s="14" t="n"/>
      <c r="B179" s="15" t="n"/>
      <c r="C179" s="15" t="n"/>
      <c r="D179" s="15" t="n"/>
      <c r="E179" s="16" t="n"/>
      <c r="F179" s="15" t="n"/>
      <c r="G179" s="14" t="n"/>
    </row>
    <row r="180">
      <c r="A180" s="17" t="n"/>
      <c r="B180" s="12" t="n"/>
      <c r="C180" s="12" t="n"/>
      <c r="D180" s="12" t="n"/>
      <c r="E180" s="18" t="n"/>
      <c r="F180" s="12" t="n"/>
      <c r="G180" s="17" t="n"/>
    </row>
    <row r="181">
      <c r="A181" s="14" t="n"/>
      <c r="B181" s="15" t="n"/>
      <c r="C181" s="15" t="n"/>
      <c r="D181" s="15" t="n"/>
      <c r="E181" s="16" t="n"/>
      <c r="F181" s="15" t="n"/>
      <c r="G181" s="14" t="n"/>
    </row>
    <row r="182">
      <c r="A182" s="17" t="n"/>
      <c r="B182" s="12" t="n"/>
      <c r="C182" s="12" t="n"/>
      <c r="D182" s="12" t="n"/>
      <c r="E182" s="18" t="n"/>
      <c r="F182" s="12" t="n"/>
      <c r="G182" s="17" t="n"/>
    </row>
    <row r="183">
      <c r="A183" s="14" t="n"/>
      <c r="B183" s="15" t="n"/>
      <c r="C183" s="15" t="n"/>
      <c r="D183" s="15" t="n"/>
      <c r="E183" s="16" t="n"/>
      <c r="F183" s="15" t="n"/>
      <c r="G183" s="14" t="n"/>
    </row>
    <row r="184">
      <c r="A184" s="17" t="n"/>
      <c r="B184" s="12" t="n"/>
      <c r="C184" s="12" t="n"/>
      <c r="D184" s="12" t="n"/>
      <c r="E184" s="18" t="n"/>
      <c r="F184" s="12" t="n"/>
      <c r="G184" s="17" t="n"/>
    </row>
    <row r="185">
      <c r="A185" s="14" t="n"/>
      <c r="B185" s="15" t="n"/>
      <c r="C185" s="15" t="n"/>
      <c r="D185" s="15" t="n"/>
      <c r="E185" s="16" t="n"/>
      <c r="F185" s="15" t="n"/>
      <c r="G185" s="14" t="n"/>
    </row>
    <row r="186">
      <c r="A186" s="17" t="n"/>
      <c r="B186" s="12" t="n"/>
      <c r="C186" s="12" t="n"/>
      <c r="D186" s="12" t="n"/>
      <c r="E186" s="18" t="n"/>
      <c r="F186" s="12" t="n"/>
      <c r="G186" s="17" t="n"/>
    </row>
    <row r="187">
      <c r="A187" s="14" t="n"/>
      <c r="B187" s="15" t="n"/>
      <c r="C187" s="15" t="n"/>
      <c r="D187" s="15" t="n"/>
      <c r="E187" s="16" t="n"/>
      <c r="F187" s="15" t="n"/>
      <c r="G187" s="14" t="n"/>
    </row>
    <row r="188">
      <c r="A188" s="17" t="n"/>
      <c r="B188" s="12" t="n"/>
      <c r="C188" s="12" t="n"/>
      <c r="D188" s="12" t="n"/>
      <c r="E188" s="18" t="n"/>
      <c r="F188" s="12" t="n"/>
      <c r="G188" s="17" t="n"/>
    </row>
    <row r="189">
      <c r="A189" s="14" t="n"/>
      <c r="B189" s="15" t="n"/>
      <c r="C189" s="15" t="n"/>
      <c r="D189" s="15" t="n"/>
      <c r="E189" s="16" t="n"/>
      <c r="F189" s="15" t="n"/>
      <c r="G189" s="14" t="n"/>
    </row>
    <row r="190">
      <c r="A190" s="17" t="n"/>
      <c r="B190" s="12" t="n"/>
      <c r="C190" s="12" t="n"/>
      <c r="D190" s="12" t="n"/>
      <c r="E190" s="18" t="n"/>
      <c r="F190" s="12" t="n"/>
      <c r="G190" s="17" t="n"/>
    </row>
    <row r="191">
      <c r="A191" s="14" t="n"/>
      <c r="B191" s="15" t="n"/>
      <c r="C191" s="15" t="n"/>
      <c r="D191" s="15" t="n"/>
      <c r="E191" s="16" t="n"/>
      <c r="F191" s="15" t="n"/>
      <c r="G191" s="14" t="n"/>
    </row>
    <row r="192">
      <c r="A192" s="17" t="n"/>
      <c r="B192" s="12" t="n"/>
      <c r="C192" s="12" t="n"/>
      <c r="D192" s="12" t="n"/>
      <c r="E192" s="18" t="n"/>
      <c r="F192" s="12" t="n"/>
      <c r="G192" s="17" t="n"/>
    </row>
    <row r="193">
      <c r="A193" s="14" t="n"/>
      <c r="B193" s="15" t="n"/>
      <c r="C193" s="15" t="n"/>
      <c r="D193" s="15" t="n"/>
      <c r="E193" s="16" t="n"/>
      <c r="F193" s="15" t="n"/>
      <c r="G193" s="14" t="n"/>
    </row>
    <row r="194">
      <c r="A194" s="17" t="n"/>
      <c r="B194" s="12" t="n"/>
      <c r="C194" s="12" t="n"/>
      <c r="D194" s="12" t="n"/>
      <c r="E194" s="18" t="n"/>
      <c r="F194" s="12" t="n"/>
      <c r="G194" s="17" t="n"/>
    </row>
    <row r="195">
      <c r="A195" s="14" t="n"/>
      <c r="B195" s="15" t="n"/>
      <c r="C195" s="15" t="n"/>
      <c r="D195" s="15" t="n"/>
      <c r="E195" s="16" t="n"/>
      <c r="F195" s="15" t="n"/>
      <c r="G195" s="14" t="n"/>
    </row>
    <row r="196">
      <c r="A196" s="17" t="n"/>
      <c r="B196" s="12" t="n"/>
      <c r="C196" s="12" t="n"/>
      <c r="D196" s="12" t="n"/>
      <c r="E196" s="18" t="n"/>
      <c r="F196" s="12" t="n"/>
      <c r="G196" s="17" t="n"/>
    </row>
    <row r="197">
      <c r="A197" s="14" t="n"/>
      <c r="B197" s="15" t="n"/>
      <c r="C197" s="15" t="n"/>
      <c r="D197" s="15" t="n"/>
      <c r="E197" s="16" t="n"/>
      <c r="F197" s="15" t="n"/>
      <c r="G197" s="14" t="n"/>
    </row>
    <row r="198">
      <c r="A198" s="17" t="n"/>
      <c r="B198" s="12" t="n"/>
      <c r="C198" s="12" t="n"/>
      <c r="D198" s="12" t="n"/>
      <c r="E198" s="18" t="n"/>
      <c r="F198" s="12" t="n"/>
      <c r="G198" s="17" t="n"/>
    </row>
    <row r="199">
      <c r="A199" s="14" t="n"/>
      <c r="B199" s="15" t="n"/>
      <c r="C199" s="15" t="n"/>
      <c r="D199" s="15" t="n"/>
      <c r="E199" s="16" t="n"/>
      <c r="F199" s="15" t="n"/>
      <c r="G199" s="14" t="n"/>
    </row>
    <row r="200">
      <c r="A200" s="17" t="n"/>
      <c r="B200" s="12" t="n"/>
      <c r="C200" s="12" t="n"/>
      <c r="D200" s="12" t="n"/>
      <c r="E200" s="18" t="n"/>
      <c r="F200" s="12" t="n"/>
      <c r="G200" s="17" t="n"/>
    </row>
    <row r="201">
      <c r="A201" s="14" t="n"/>
      <c r="B201" s="15" t="n"/>
      <c r="C201" s="15" t="n"/>
      <c r="D201" s="15" t="n"/>
      <c r="E201" s="16" t="n"/>
      <c r="F201" s="15" t="n"/>
      <c r="G201" s="14" t="n"/>
    </row>
    <row r="202">
      <c r="A202" s="17" t="n"/>
      <c r="B202" s="12" t="n"/>
      <c r="C202" s="12" t="n"/>
      <c r="D202" s="12" t="n"/>
      <c r="E202" s="18" t="n"/>
      <c r="F202" s="12" t="n"/>
      <c r="G202" s="17" t="n"/>
    </row>
    <row r="203">
      <c r="A203" s="14" t="n"/>
      <c r="B203" s="15" t="n"/>
      <c r="C203" s="15" t="n"/>
      <c r="D203" s="15" t="n"/>
      <c r="E203" s="16" t="n"/>
      <c r="F203" s="15" t="n"/>
      <c r="G203" s="14" t="n"/>
    </row>
    <row r="204">
      <c r="A204" s="17" t="n"/>
      <c r="B204" s="12" t="n"/>
      <c r="C204" s="12" t="n"/>
      <c r="D204" s="12" t="n"/>
      <c r="E204" s="18" t="n"/>
      <c r="F204" s="12" t="n"/>
      <c r="G204" s="17" t="n"/>
    </row>
    <row r="205">
      <c r="A205" s="14" t="n"/>
      <c r="B205" s="15" t="n"/>
      <c r="C205" s="15" t="n"/>
      <c r="D205" s="15" t="n"/>
      <c r="E205" s="16" t="n"/>
      <c r="F205" s="15" t="n"/>
      <c r="G205" s="14" t="n"/>
    </row>
    <row r="206">
      <c r="A206" s="17" t="n"/>
      <c r="B206" s="12" t="n"/>
      <c r="C206" s="12" t="n"/>
      <c r="D206" s="12" t="n"/>
      <c r="E206" s="18" t="n"/>
      <c r="F206" s="12" t="n"/>
      <c r="G206" s="17" t="n"/>
    </row>
    <row r="207">
      <c r="A207" s="14" t="n"/>
      <c r="B207" s="15" t="n"/>
      <c r="C207" s="15" t="n"/>
      <c r="D207" s="15" t="n"/>
      <c r="E207" s="16" t="n"/>
      <c r="F207" s="15" t="n"/>
      <c r="G207" s="14" t="n"/>
    </row>
    <row r="208">
      <c r="A208" s="17" t="n"/>
      <c r="B208" s="12" t="n"/>
      <c r="C208" s="12" t="n"/>
      <c r="D208" s="12" t="n"/>
      <c r="E208" s="18" t="n"/>
      <c r="F208" s="12" t="n"/>
      <c r="G208" s="17" t="n"/>
    </row>
    <row r="209">
      <c r="A209" s="14" t="n"/>
      <c r="B209" s="15" t="n"/>
      <c r="C209" s="15" t="n"/>
      <c r="D209" s="15" t="n"/>
      <c r="E209" s="16" t="n"/>
      <c r="F209" s="15" t="n"/>
      <c r="G209" s="14" t="n"/>
    </row>
    <row r="210">
      <c r="A210" s="17" t="n"/>
      <c r="B210" s="12" t="n"/>
      <c r="C210" s="12" t="n"/>
      <c r="D210" s="12" t="n"/>
      <c r="E210" s="18" t="n"/>
      <c r="F210" s="12" t="n"/>
      <c r="G210" s="17" t="n"/>
    </row>
    <row r="211">
      <c r="A211" s="14" t="n"/>
      <c r="B211" s="15" t="n"/>
      <c r="C211" s="15" t="n"/>
      <c r="D211" s="15" t="n"/>
      <c r="E211" s="16" t="n"/>
      <c r="F211" s="15" t="n"/>
      <c r="G211" s="14" t="n"/>
    </row>
    <row r="212">
      <c r="A212" s="17" t="n"/>
      <c r="B212" s="12" t="n"/>
      <c r="C212" s="12" t="n"/>
      <c r="D212" s="12" t="n"/>
      <c r="E212" s="18" t="n"/>
      <c r="F212" s="12" t="n"/>
      <c r="G212" s="17" t="n"/>
    </row>
    <row r="213">
      <c r="A213" s="14" t="n"/>
      <c r="B213" s="15" t="n"/>
      <c r="C213" s="15" t="n"/>
      <c r="D213" s="15" t="n"/>
      <c r="E213" s="16" t="n"/>
      <c r="F213" s="15" t="n"/>
      <c r="G213" s="14" t="n"/>
    </row>
    <row r="214">
      <c r="A214" s="17" t="n"/>
      <c r="B214" s="12" t="n"/>
      <c r="C214" s="12" t="n"/>
      <c r="D214" s="12" t="n"/>
      <c r="E214" s="18" t="n"/>
      <c r="F214" s="12" t="n"/>
      <c r="G214" s="17" t="n"/>
    </row>
    <row r="215">
      <c r="A215" s="14" t="n"/>
      <c r="B215" s="15" t="n"/>
      <c r="C215" s="15" t="n"/>
      <c r="D215" s="15" t="n"/>
      <c r="E215" s="16" t="n"/>
      <c r="F215" s="15" t="n"/>
      <c r="G215" s="14" t="n"/>
    </row>
    <row r="216">
      <c r="A216" s="17" t="n"/>
      <c r="B216" s="12" t="n"/>
      <c r="C216" s="12" t="n"/>
      <c r="D216" s="12" t="n"/>
      <c r="E216" s="18" t="n"/>
      <c r="F216" s="12" t="n"/>
      <c r="G216" s="17" t="n"/>
    </row>
    <row r="217">
      <c r="A217" s="14" t="n"/>
      <c r="B217" s="15" t="n"/>
      <c r="C217" s="15" t="n"/>
      <c r="D217" s="15" t="n"/>
      <c r="E217" s="16" t="n"/>
      <c r="F217" s="15" t="n"/>
      <c r="G217" s="14" t="n"/>
    </row>
    <row r="218">
      <c r="A218" s="17" t="n"/>
      <c r="B218" s="12" t="n"/>
      <c r="C218" s="12" t="n"/>
      <c r="D218" s="12" t="n"/>
      <c r="E218" s="18" t="n"/>
      <c r="F218" s="12" t="n"/>
      <c r="G218" s="17" t="n"/>
    </row>
    <row r="219">
      <c r="A219" s="14" t="n"/>
      <c r="B219" s="15" t="n"/>
      <c r="C219" s="15" t="n"/>
      <c r="D219" s="15" t="n"/>
      <c r="E219" s="16" t="n"/>
      <c r="F219" s="15" t="n"/>
      <c r="G219" s="14" t="n"/>
    </row>
    <row r="220">
      <c r="A220" s="17" t="n"/>
      <c r="B220" s="12" t="n"/>
      <c r="C220" s="12" t="n"/>
      <c r="D220" s="12" t="n"/>
      <c r="E220" s="18" t="n"/>
      <c r="F220" s="12" t="n"/>
      <c r="G220" s="17" t="n"/>
    </row>
    <row r="221">
      <c r="A221" s="14" t="n"/>
      <c r="B221" s="15" t="n"/>
      <c r="C221" s="15" t="n"/>
      <c r="D221" s="15" t="n"/>
      <c r="E221" s="16" t="n"/>
      <c r="F221" s="15" t="n"/>
      <c r="G221" s="14" t="n"/>
    </row>
    <row r="222">
      <c r="A222" s="17" t="n"/>
      <c r="B222" s="12" t="n"/>
      <c r="C222" s="12" t="n"/>
      <c r="D222" s="12" t="n"/>
      <c r="E222" s="18" t="n"/>
      <c r="F222" s="12" t="n"/>
      <c r="G222" s="17" t="n"/>
    </row>
    <row r="223">
      <c r="A223" s="14" t="n"/>
      <c r="B223" s="15" t="n"/>
      <c r="C223" s="15" t="n"/>
      <c r="D223" s="15" t="n"/>
      <c r="E223" s="16" t="n"/>
      <c r="F223" s="15" t="n"/>
      <c r="G223" s="14" t="n"/>
    </row>
    <row r="224">
      <c r="A224" s="17" t="n"/>
      <c r="B224" s="12" t="n"/>
      <c r="C224" s="12" t="n"/>
      <c r="D224" s="12" t="n"/>
      <c r="E224" s="18" t="n"/>
      <c r="F224" s="12" t="n"/>
      <c r="G224" s="17" t="n"/>
    </row>
    <row r="225">
      <c r="A225" s="14" t="n"/>
      <c r="B225" s="15" t="n"/>
      <c r="C225" s="15" t="n"/>
      <c r="D225" s="15" t="n"/>
      <c r="E225" s="16" t="n"/>
      <c r="F225" s="15" t="n"/>
      <c r="G225" s="14" t="n"/>
    </row>
    <row r="226">
      <c r="A226" s="17" t="n"/>
      <c r="B226" s="12" t="n"/>
      <c r="C226" s="12" t="n"/>
      <c r="D226" s="12" t="n"/>
      <c r="E226" s="18" t="n"/>
      <c r="F226" s="12" t="n"/>
      <c r="G226" s="17" t="n"/>
    </row>
    <row r="227">
      <c r="A227" s="14" t="n"/>
      <c r="B227" s="15" t="n"/>
      <c r="C227" s="15" t="n"/>
      <c r="D227" s="15" t="n"/>
      <c r="E227" s="16" t="n"/>
      <c r="F227" s="15" t="n"/>
      <c r="G227" s="14" t="n"/>
    </row>
    <row r="228">
      <c r="A228" s="17" t="n"/>
      <c r="B228" s="12" t="n"/>
      <c r="C228" s="12" t="n"/>
      <c r="D228" s="12" t="n"/>
      <c r="E228" s="18" t="n"/>
      <c r="F228" s="12" t="n"/>
      <c r="G228" s="17" t="n"/>
    </row>
    <row r="229">
      <c r="A229" s="14" t="n"/>
      <c r="B229" s="15" t="n"/>
      <c r="C229" s="15" t="n"/>
      <c r="D229" s="15" t="n"/>
      <c r="E229" s="16" t="n"/>
      <c r="F229" s="15" t="n"/>
      <c r="G229" s="14" t="n"/>
    </row>
    <row r="230">
      <c r="A230" s="17" t="n"/>
      <c r="B230" s="12" t="n"/>
      <c r="C230" s="12" t="n"/>
      <c r="D230" s="12" t="n"/>
      <c r="E230" s="18" t="n"/>
      <c r="F230" s="12" t="n"/>
      <c r="G230" s="17" t="n"/>
    </row>
    <row r="231">
      <c r="A231" s="14" t="n"/>
      <c r="B231" s="15" t="n"/>
      <c r="C231" s="15" t="n"/>
      <c r="D231" s="15" t="n"/>
      <c r="E231" s="16" t="n"/>
      <c r="F231" s="15" t="n"/>
      <c r="G231" s="14" t="n"/>
    </row>
    <row r="232">
      <c r="A232" s="17" t="n"/>
      <c r="B232" s="12" t="n"/>
      <c r="C232" s="12" t="n"/>
      <c r="D232" s="12" t="n"/>
      <c r="E232" s="18" t="n"/>
      <c r="F232" s="12" t="n"/>
      <c r="G232" s="17" t="n"/>
    </row>
    <row r="233">
      <c r="A233" s="14" t="n"/>
      <c r="B233" s="15" t="n"/>
      <c r="C233" s="15" t="n"/>
      <c r="D233" s="15" t="n"/>
      <c r="E233" s="16" t="n"/>
      <c r="F233" s="15" t="n"/>
      <c r="G233" s="14" t="n"/>
    </row>
    <row r="234">
      <c r="A234" s="17" t="n"/>
      <c r="B234" s="12" t="n"/>
      <c r="C234" s="12" t="n"/>
      <c r="D234" s="12" t="n"/>
      <c r="E234" s="18" t="n"/>
      <c r="F234" s="12" t="n"/>
      <c r="G234" s="17" t="n"/>
    </row>
    <row r="235">
      <c r="A235" s="14" t="n"/>
      <c r="B235" s="15" t="n"/>
      <c r="C235" s="15" t="n"/>
      <c r="D235" s="15" t="n"/>
      <c r="E235" s="16" t="n"/>
      <c r="F235" s="15" t="n"/>
      <c r="G235" s="14" t="n"/>
    </row>
    <row r="236">
      <c r="A236" s="17" t="n"/>
      <c r="B236" s="12" t="n"/>
      <c r="C236" s="12" t="n"/>
      <c r="D236" s="12" t="n"/>
      <c r="E236" s="18" t="n"/>
      <c r="F236" s="12" t="n"/>
      <c r="G236" s="17" t="n"/>
    </row>
    <row r="237">
      <c r="A237" s="14" t="n"/>
      <c r="B237" s="15" t="n"/>
      <c r="C237" s="15" t="n"/>
      <c r="D237" s="15" t="n"/>
      <c r="E237" s="16" t="n"/>
      <c r="F237" s="15" t="n"/>
      <c r="G237" s="14" t="n"/>
    </row>
    <row r="238">
      <c r="A238" s="17" t="n"/>
      <c r="B238" s="12" t="n"/>
      <c r="C238" s="12" t="n"/>
      <c r="D238" s="12" t="n"/>
      <c r="E238" s="18" t="n"/>
      <c r="F238" s="12" t="n"/>
      <c r="G238" s="17" t="n"/>
    </row>
    <row r="239">
      <c r="A239" s="14" t="n"/>
      <c r="B239" s="15" t="n"/>
      <c r="C239" s="15" t="n"/>
      <c r="D239" s="15" t="n"/>
      <c r="E239" s="16" t="n"/>
      <c r="F239" s="15" t="n"/>
      <c r="G239" s="14" t="n"/>
    </row>
    <row r="240">
      <c r="A240" s="17" t="n"/>
      <c r="B240" s="12" t="n"/>
      <c r="C240" s="12" t="n"/>
      <c r="D240" s="12" t="n"/>
      <c r="E240" s="18" t="n"/>
      <c r="F240" s="12" t="n"/>
      <c r="G240" s="17" t="n"/>
    </row>
    <row r="241">
      <c r="A241" s="14" t="n"/>
      <c r="B241" s="15" t="n"/>
      <c r="C241" s="15" t="n"/>
      <c r="D241" s="15" t="n"/>
      <c r="E241" s="16" t="n"/>
      <c r="F241" s="15" t="n"/>
      <c r="G241" s="14" t="n"/>
    </row>
    <row r="242">
      <c r="A242" s="17" t="n"/>
      <c r="B242" s="12" t="n"/>
      <c r="C242" s="12" t="n"/>
      <c r="D242" s="12" t="n"/>
      <c r="E242" s="18" t="n"/>
      <c r="F242" s="12" t="n"/>
      <c r="G242" s="17" t="n"/>
    </row>
    <row r="243">
      <c r="A243" s="14" t="n"/>
      <c r="B243" s="15" t="n"/>
      <c r="C243" s="15" t="n"/>
      <c r="D243" s="15" t="n"/>
      <c r="E243" s="16" t="n"/>
      <c r="F243" s="15" t="n"/>
      <c r="G243" s="14" t="n"/>
    </row>
    <row r="244">
      <c r="A244" s="17" t="n"/>
      <c r="B244" s="12" t="n"/>
      <c r="C244" s="12" t="n"/>
      <c r="D244" s="12" t="n"/>
      <c r="E244" s="18" t="n"/>
      <c r="F244" s="12" t="n"/>
      <c r="G244" s="17" t="n"/>
    </row>
    <row r="245">
      <c r="A245" s="14" t="n"/>
      <c r="B245" s="15" t="n"/>
      <c r="C245" s="15" t="n"/>
      <c r="D245" s="15" t="n"/>
      <c r="E245" s="16" t="n"/>
      <c r="F245" s="15" t="n"/>
      <c r="G245" s="14" t="n"/>
    </row>
    <row r="246">
      <c r="A246" s="17" t="n"/>
      <c r="B246" s="12" t="n"/>
      <c r="C246" s="12" t="n"/>
      <c r="D246" s="12" t="n"/>
      <c r="E246" s="18" t="n"/>
      <c r="F246" s="12" t="n"/>
      <c r="G246" s="17" t="n"/>
    </row>
    <row r="247">
      <c r="A247" s="14" t="n"/>
      <c r="B247" s="15" t="n"/>
      <c r="C247" s="15" t="n"/>
      <c r="D247" s="15" t="n"/>
      <c r="E247" s="16" t="n"/>
      <c r="F247" s="15" t="n"/>
      <c r="G247" s="14" t="n"/>
    </row>
    <row r="248">
      <c r="A248" s="17" t="n"/>
      <c r="B248" s="12" t="n"/>
      <c r="C248" s="12" t="n"/>
      <c r="D248" s="12" t="n"/>
      <c r="E248" s="18" t="n"/>
      <c r="F248" s="12" t="n"/>
      <c r="G248" s="17" t="n"/>
    </row>
    <row r="249">
      <c r="A249" s="14" t="n"/>
      <c r="B249" s="15" t="n"/>
      <c r="C249" s="15" t="n"/>
      <c r="D249" s="15" t="n"/>
      <c r="E249" s="16" t="n"/>
      <c r="F249" s="15" t="n"/>
      <c r="G249" s="14" t="n"/>
    </row>
    <row r="250">
      <c r="A250" s="17" t="n"/>
      <c r="B250" s="12" t="n"/>
      <c r="C250" s="12" t="n"/>
      <c r="D250" s="12" t="n"/>
      <c r="E250" s="18" t="n"/>
      <c r="F250" s="12" t="n"/>
      <c r="G250" s="17" t="n"/>
    </row>
    <row r="251">
      <c r="A251" s="14" t="n"/>
      <c r="B251" s="15" t="n"/>
      <c r="C251" s="15" t="n"/>
      <c r="D251" s="15" t="n"/>
      <c r="E251" s="16" t="n"/>
      <c r="F251" s="15" t="n"/>
      <c r="G251" s="14" t="n"/>
    </row>
    <row r="252">
      <c r="A252" s="17" t="n"/>
      <c r="B252" s="12" t="n"/>
      <c r="C252" s="12" t="n"/>
      <c r="D252" s="12" t="n"/>
      <c r="E252" s="18" t="n"/>
      <c r="F252" s="12" t="n"/>
      <c r="G252" s="17" t="n"/>
    </row>
    <row r="253">
      <c r="A253" s="14" t="n"/>
      <c r="B253" s="15" t="n"/>
      <c r="C253" s="15" t="n"/>
      <c r="D253" s="15" t="n"/>
      <c r="E253" s="16" t="n"/>
      <c r="F253" s="15" t="n"/>
      <c r="G253" s="14" t="n"/>
    </row>
    <row r="254">
      <c r="A254" s="17" t="n"/>
      <c r="B254" s="12" t="n"/>
      <c r="C254" s="12" t="n"/>
      <c r="D254" s="12" t="n"/>
      <c r="E254" s="18" t="n"/>
      <c r="F254" s="12" t="n"/>
      <c r="G254" s="17" t="n"/>
    </row>
  </sheetData>
  <mergeCells count="2">
    <mergeCell ref="A2:H2"/>
    <mergeCell ref="A1:H1"/>
  </mergeCells>
  <dataValidations count="1">
    <dataValidation sqref="F5:F254" showDropDown="0" showInputMessage="0" showErrorMessage="0" allowBlank="1" type="list">
      <formula1>=Settings!$D$14:$D$17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4" customWidth="1" min="3" max="3"/>
    <col width="30" customWidth="1" min="4" max="4"/>
    <col width="14" customWidth="1" min="5" max="5"/>
    <col width="13" customWidth="1" min="6" max="6"/>
  </cols>
  <sheetData>
    <row r="1" ht="34" customHeight="1">
      <c r="A1" s="1" t="inlineStr">
        <is>
          <t>🧾  Expenses</t>
        </is>
      </c>
    </row>
    <row r="2" ht="18" customHeight="1">
      <c r="A2" s="2" t="inlineStr">
        <is>
          <t>Track costs by category. Deductible totals feed your tax estimate.</t>
        </is>
      </c>
    </row>
    <row r="4" ht="26" customHeight="1">
      <c r="A4" s="13" t="inlineStr">
        <is>
          <t>Date</t>
        </is>
      </c>
      <c r="B4" s="13" t="inlineStr">
        <is>
          <t>Vendor</t>
        </is>
      </c>
      <c r="C4" s="13" t="inlineStr">
        <is>
          <t>Category</t>
        </is>
      </c>
      <c r="D4" s="13" t="inlineStr">
        <is>
          <t>Description</t>
        </is>
      </c>
      <c r="E4" s="13" t="inlineStr">
        <is>
          <t>Amount</t>
        </is>
      </c>
      <c r="F4" s="13" t="inlineStr">
        <is>
          <t>Deductible?</t>
        </is>
      </c>
    </row>
    <row r="5">
      <c r="A5" s="14" t="n"/>
      <c r="B5" s="15" t="n"/>
      <c r="C5" s="15" t="n"/>
      <c r="D5" s="15" t="n"/>
      <c r="E5" s="16" t="n"/>
      <c r="F5" s="15" t="n"/>
    </row>
    <row r="6">
      <c r="A6" s="17" t="n"/>
      <c r="B6" s="12" t="n"/>
      <c r="C6" s="12" t="n"/>
      <c r="D6" s="12" t="n"/>
      <c r="E6" s="18" t="n"/>
      <c r="F6" s="12" t="n"/>
    </row>
    <row r="7">
      <c r="A7" s="14" t="n"/>
      <c r="B7" s="15" t="n"/>
      <c r="C7" s="15" t="n"/>
      <c r="D7" s="15" t="n"/>
      <c r="E7" s="16" t="n"/>
      <c r="F7" s="15" t="n"/>
    </row>
    <row r="8">
      <c r="A8" s="17" t="n"/>
      <c r="B8" s="12" t="n"/>
      <c r="C8" s="12" t="n"/>
      <c r="D8" s="12" t="n"/>
      <c r="E8" s="18" t="n"/>
      <c r="F8" s="12" t="n"/>
    </row>
    <row r="9">
      <c r="A9" s="14" t="n"/>
      <c r="B9" s="15" t="n"/>
      <c r="C9" s="15" t="n"/>
      <c r="D9" s="15" t="n"/>
      <c r="E9" s="16" t="n"/>
      <c r="F9" s="15" t="n"/>
    </row>
    <row r="10">
      <c r="A10" s="17" t="n"/>
      <c r="B10" s="12" t="n"/>
      <c r="C10" s="12" t="n"/>
      <c r="D10" s="12" t="n"/>
      <c r="E10" s="18" t="n"/>
      <c r="F10" s="12" t="n"/>
    </row>
    <row r="11">
      <c r="A11" s="14" t="n"/>
      <c r="B11" s="15" t="n"/>
      <c r="C11" s="15" t="n"/>
      <c r="D11" s="15" t="n"/>
      <c r="E11" s="16" t="n"/>
      <c r="F11" s="15" t="n"/>
    </row>
    <row r="12">
      <c r="A12" s="17" t="n"/>
      <c r="B12" s="12" t="n"/>
      <c r="C12" s="12" t="n"/>
      <c r="D12" s="12" t="n"/>
      <c r="E12" s="18" t="n"/>
      <c r="F12" s="12" t="n"/>
    </row>
    <row r="13">
      <c r="A13" s="14" t="n"/>
      <c r="B13" s="15" t="n"/>
      <c r="C13" s="15" t="n"/>
      <c r="D13" s="15" t="n"/>
      <c r="E13" s="16" t="n"/>
      <c r="F13" s="15" t="n"/>
    </row>
    <row r="14">
      <c r="A14" s="17" t="n"/>
      <c r="B14" s="12" t="n"/>
      <c r="C14" s="12" t="n"/>
      <c r="D14" s="12" t="n"/>
      <c r="E14" s="18" t="n"/>
      <c r="F14" s="12" t="n"/>
    </row>
    <row r="15">
      <c r="A15" s="14" t="n"/>
      <c r="B15" s="15" t="n"/>
      <c r="C15" s="15" t="n"/>
      <c r="D15" s="15" t="n"/>
      <c r="E15" s="16" t="n"/>
      <c r="F15" s="15" t="n"/>
    </row>
    <row r="16">
      <c r="A16" s="17" t="n"/>
      <c r="B16" s="12" t="n"/>
      <c r="C16" s="12" t="n"/>
      <c r="D16" s="12" t="n"/>
      <c r="E16" s="18" t="n"/>
      <c r="F16" s="12" t="n"/>
    </row>
    <row r="17">
      <c r="A17" s="14" t="n"/>
      <c r="B17" s="15" t="n"/>
      <c r="C17" s="15" t="n"/>
      <c r="D17" s="15" t="n"/>
      <c r="E17" s="16" t="n"/>
      <c r="F17" s="15" t="n"/>
    </row>
    <row r="18">
      <c r="A18" s="17" t="n"/>
      <c r="B18" s="12" t="n"/>
      <c r="C18" s="12" t="n"/>
      <c r="D18" s="12" t="n"/>
      <c r="E18" s="18" t="n"/>
      <c r="F18" s="12" t="n"/>
    </row>
    <row r="19">
      <c r="A19" s="14" t="n"/>
      <c r="B19" s="15" t="n"/>
      <c r="C19" s="15" t="n"/>
      <c r="D19" s="15" t="n"/>
      <c r="E19" s="16" t="n"/>
      <c r="F19" s="15" t="n"/>
    </row>
    <row r="20">
      <c r="A20" s="17" t="n"/>
      <c r="B20" s="12" t="n"/>
      <c r="C20" s="12" t="n"/>
      <c r="D20" s="12" t="n"/>
      <c r="E20" s="18" t="n"/>
      <c r="F20" s="12" t="n"/>
    </row>
    <row r="21">
      <c r="A21" s="14" t="n"/>
      <c r="B21" s="15" t="n"/>
      <c r="C21" s="15" t="n"/>
      <c r="D21" s="15" t="n"/>
      <c r="E21" s="16" t="n"/>
      <c r="F21" s="15" t="n"/>
    </row>
    <row r="22">
      <c r="A22" s="17" t="n"/>
      <c r="B22" s="12" t="n"/>
      <c r="C22" s="12" t="n"/>
      <c r="D22" s="12" t="n"/>
      <c r="E22" s="18" t="n"/>
      <c r="F22" s="12" t="n"/>
    </row>
    <row r="23">
      <c r="A23" s="14" t="n"/>
      <c r="B23" s="15" t="n"/>
      <c r="C23" s="15" t="n"/>
      <c r="D23" s="15" t="n"/>
      <c r="E23" s="16" t="n"/>
      <c r="F23" s="15" t="n"/>
    </row>
    <row r="24">
      <c r="A24" s="17" t="n"/>
      <c r="B24" s="12" t="n"/>
      <c r="C24" s="12" t="n"/>
      <c r="D24" s="12" t="n"/>
      <c r="E24" s="18" t="n"/>
      <c r="F24" s="12" t="n"/>
    </row>
    <row r="25">
      <c r="A25" s="14" t="n"/>
      <c r="B25" s="15" t="n"/>
      <c r="C25" s="15" t="n"/>
      <c r="D25" s="15" t="n"/>
      <c r="E25" s="16" t="n"/>
      <c r="F25" s="15" t="n"/>
    </row>
    <row r="26">
      <c r="A26" s="17" t="n"/>
      <c r="B26" s="12" t="n"/>
      <c r="C26" s="12" t="n"/>
      <c r="D26" s="12" t="n"/>
      <c r="E26" s="18" t="n"/>
      <c r="F26" s="12" t="n"/>
    </row>
    <row r="27">
      <c r="A27" s="14" t="n"/>
      <c r="B27" s="15" t="n"/>
      <c r="C27" s="15" t="n"/>
      <c r="D27" s="15" t="n"/>
      <c r="E27" s="16" t="n"/>
      <c r="F27" s="15" t="n"/>
    </row>
    <row r="28">
      <c r="A28" s="17" t="n"/>
      <c r="B28" s="12" t="n"/>
      <c r="C28" s="12" t="n"/>
      <c r="D28" s="12" t="n"/>
      <c r="E28" s="18" t="n"/>
      <c r="F28" s="12" t="n"/>
    </row>
    <row r="29">
      <c r="A29" s="14" t="n"/>
      <c r="B29" s="15" t="n"/>
      <c r="C29" s="15" t="n"/>
      <c r="D29" s="15" t="n"/>
      <c r="E29" s="16" t="n"/>
      <c r="F29" s="15" t="n"/>
    </row>
    <row r="30">
      <c r="A30" s="17" t="n"/>
      <c r="B30" s="12" t="n"/>
      <c r="C30" s="12" t="n"/>
      <c r="D30" s="12" t="n"/>
      <c r="E30" s="18" t="n"/>
      <c r="F30" s="12" t="n"/>
    </row>
    <row r="31">
      <c r="A31" s="14" t="n"/>
      <c r="B31" s="15" t="n"/>
      <c r="C31" s="15" t="n"/>
      <c r="D31" s="15" t="n"/>
      <c r="E31" s="16" t="n"/>
      <c r="F31" s="15" t="n"/>
    </row>
    <row r="32">
      <c r="A32" s="17" t="n"/>
      <c r="B32" s="12" t="n"/>
      <c r="C32" s="12" t="n"/>
      <c r="D32" s="12" t="n"/>
      <c r="E32" s="18" t="n"/>
      <c r="F32" s="12" t="n"/>
    </row>
    <row r="33">
      <c r="A33" s="14" t="n"/>
      <c r="B33" s="15" t="n"/>
      <c r="C33" s="15" t="n"/>
      <c r="D33" s="15" t="n"/>
      <c r="E33" s="16" t="n"/>
      <c r="F33" s="15" t="n"/>
    </row>
    <row r="34">
      <c r="A34" s="17" t="n"/>
      <c r="B34" s="12" t="n"/>
      <c r="C34" s="12" t="n"/>
      <c r="D34" s="12" t="n"/>
      <c r="E34" s="18" t="n"/>
      <c r="F34" s="12" t="n"/>
    </row>
    <row r="35">
      <c r="A35" s="14" t="n"/>
      <c r="B35" s="15" t="n"/>
      <c r="C35" s="15" t="n"/>
      <c r="D35" s="15" t="n"/>
      <c r="E35" s="16" t="n"/>
      <c r="F35" s="15" t="n"/>
    </row>
    <row r="36">
      <c r="A36" s="17" t="n"/>
      <c r="B36" s="12" t="n"/>
      <c r="C36" s="12" t="n"/>
      <c r="D36" s="12" t="n"/>
      <c r="E36" s="18" t="n"/>
      <c r="F36" s="12" t="n"/>
    </row>
    <row r="37">
      <c r="A37" s="14" t="n"/>
      <c r="B37" s="15" t="n"/>
      <c r="C37" s="15" t="n"/>
      <c r="D37" s="15" t="n"/>
      <c r="E37" s="16" t="n"/>
      <c r="F37" s="15" t="n"/>
    </row>
    <row r="38">
      <c r="A38" s="17" t="n"/>
      <c r="B38" s="12" t="n"/>
      <c r="C38" s="12" t="n"/>
      <c r="D38" s="12" t="n"/>
      <c r="E38" s="18" t="n"/>
      <c r="F38" s="12" t="n"/>
    </row>
    <row r="39">
      <c r="A39" s="14" t="n"/>
      <c r="B39" s="15" t="n"/>
      <c r="C39" s="15" t="n"/>
      <c r="D39" s="15" t="n"/>
      <c r="E39" s="16" t="n"/>
      <c r="F39" s="15" t="n"/>
    </row>
    <row r="40">
      <c r="A40" s="17" t="n"/>
      <c r="B40" s="12" t="n"/>
      <c r="C40" s="12" t="n"/>
      <c r="D40" s="12" t="n"/>
      <c r="E40" s="18" t="n"/>
      <c r="F40" s="12" t="n"/>
    </row>
    <row r="41">
      <c r="A41" s="14" t="n"/>
      <c r="B41" s="15" t="n"/>
      <c r="C41" s="15" t="n"/>
      <c r="D41" s="15" t="n"/>
      <c r="E41" s="16" t="n"/>
      <c r="F41" s="15" t="n"/>
    </row>
    <row r="42">
      <c r="A42" s="17" t="n"/>
      <c r="B42" s="12" t="n"/>
      <c r="C42" s="12" t="n"/>
      <c r="D42" s="12" t="n"/>
      <c r="E42" s="18" t="n"/>
      <c r="F42" s="12" t="n"/>
    </row>
    <row r="43">
      <c r="A43" s="14" t="n"/>
      <c r="B43" s="15" t="n"/>
      <c r="C43" s="15" t="n"/>
      <c r="D43" s="15" t="n"/>
      <c r="E43" s="16" t="n"/>
      <c r="F43" s="15" t="n"/>
    </row>
    <row r="44">
      <c r="A44" s="17" t="n"/>
      <c r="B44" s="12" t="n"/>
      <c r="C44" s="12" t="n"/>
      <c r="D44" s="12" t="n"/>
      <c r="E44" s="18" t="n"/>
      <c r="F44" s="12" t="n"/>
    </row>
    <row r="45">
      <c r="A45" s="14" t="n"/>
      <c r="B45" s="15" t="n"/>
      <c r="C45" s="15" t="n"/>
      <c r="D45" s="15" t="n"/>
      <c r="E45" s="16" t="n"/>
      <c r="F45" s="15" t="n"/>
    </row>
    <row r="46">
      <c r="A46" s="17" t="n"/>
      <c r="B46" s="12" t="n"/>
      <c r="C46" s="12" t="n"/>
      <c r="D46" s="12" t="n"/>
      <c r="E46" s="18" t="n"/>
      <c r="F46" s="12" t="n"/>
    </row>
    <row r="47">
      <c r="A47" s="14" t="n"/>
      <c r="B47" s="15" t="n"/>
      <c r="C47" s="15" t="n"/>
      <c r="D47" s="15" t="n"/>
      <c r="E47" s="16" t="n"/>
      <c r="F47" s="15" t="n"/>
    </row>
    <row r="48">
      <c r="A48" s="17" t="n"/>
      <c r="B48" s="12" t="n"/>
      <c r="C48" s="12" t="n"/>
      <c r="D48" s="12" t="n"/>
      <c r="E48" s="18" t="n"/>
      <c r="F48" s="12" t="n"/>
    </row>
    <row r="49">
      <c r="A49" s="14" t="n"/>
      <c r="B49" s="15" t="n"/>
      <c r="C49" s="15" t="n"/>
      <c r="D49" s="15" t="n"/>
      <c r="E49" s="16" t="n"/>
      <c r="F49" s="15" t="n"/>
    </row>
    <row r="50">
      <c r="A50" s="17" t="n"/>
      <c r="B50" s="12" t="n"/>
      <c r="C50" s="12" t="n"/>
      <c r="D50" s="12" t="n"/>
      <c r="E50" s="18" t="n"/>
      <c r="F50" s="12" t="n"/>
    </row>
    <row r="51">
      <c r="A51" s="14" t="n"/>
      <c r="B51" s="15" t="n"/>
      <c r="C51" s="15" t="n"/>
      <c r="D51" s="15" t="n"/>
      <c r="E51" s="16" t="n"/>
      <c r="F51" s="15" t="n"/>
    </row>
    <row r="52">
      <c r="A52" s="17" t="n"/>
      <c r="B52" s="12" t="n"/>
      <c r="C52" s="12" t="n"/>
      <c r="D52" s="12" t="n"/>
      <c r="E52" s="18" t="n"/>
      <c r="F52" s="12" t="n"/>
    </row>
    <row r="53">
      <c r="A53" s="14" t="n"/>
      <c r="B53" s="15" t="n"/>
      <c r="C53" s="15" t="n"/>
      <c r="D53" s="15" t="n"/>
      <c r="E53" s="16" t="n"/>
      <c r="F53" s="15" t="n"/>
    </row>
    <row r="54">
      <c r="A54" s="17" t="n"/>
      <c r="B54" s="12" t="n"/>
      <c r="C54" s="12" t="n"/>
      <c r="D54" s="12" t="n"/>
      <c r="E54" s="18" t="n"/>
      <c r="F54" s="12" t="n"/>
    </row>
    <row r="55">
      <c r="A55" s="14" t="n"/>
      <c r="B55" s="15" t="n"/>
      <c r="C55" s="15" t="n"/>
      <c r="D55" s="15" t="n"/>
      <c r="E55" s="16" t="n"/>
      <c r="F55" s="15" t="n"/>
    </row>
    <row r="56">
      <c r="A56" s="17" t="n"/>
      <c r="B56" s="12" t="n"/>
      <c r="C56" s="12" t="n"/>
      <c r="D56" s="12" t="n"/>
      <c r="E56" s="18" t="n"/>
      <c r="F56" s="12" t="n"/>
    </row>
    <row r="57">
      <c r="A57" s="14" t="n"/>
      <c r="B57" s="15" t="n"/>
      <c r="C57" s="15" t="n"/>
      <c r="D57" s="15" t="n"/>
      <c r="E57" s="16" t="n"/>
      <c r="F57" s="15" t="n"/>
    </row>
    <row r="58">
      <c r="A58" s="17" t="n"/>
      <c r="B58" s="12" t="n"/>
      <c r="C58" s="12" t="n"/>
      <c r="D58" s="12" t="n"/>
      <c r="E58" s="18" t="n"/>
      <c r="F58" s="12" t="n"/>
    </row>
    <row r="59">
      <c r="A59" s="14" t="n"/>
      <c r="B59" s="15" t="n"/>
      <c r="C59" s="15" t="n"/>
      <c r="D59" s="15" t="n"/>
      <c r="E59" s="16" t="n"/>
      <c r="F59" s="15" t="n"/>
    </row>
    <row r="60">
      <c r="A60" s="17" t="n"/>
      <c r="B60" s="12" t="n"/>
      <c r="C60" s="12" t="n"/>
      <c r="D60" s="12" t="n"/>
      <c r="E60" s="18" t="n"/>
      <c r="F60" s="12" t="n"/>
    </row>
    <row r="61">
      <c r="A61" s="14" t="n"/>
      <c r="B61" s="15" t="n"/>
      <c r="C61" s="15" t="n"/>
      <c r="D61" s="15" t="n"/>
      <c r="E61" s="16" t="n"/>
      <c r="F61" s="15" t="n"/>
    </row>
    <row r="62">
      <c r="A62" s="17" t="n"/>
      <c r="B62" s="12" t="n"/>
      <c r="C62" s="12" t="n"/>
      <c r="D62" s="12" t="n"/>
      <c r="E62" s="18" t="n"/>
      <c r="F62" s="12" t="n"/>
    </row>
    <row r="63">
      <c r="A63" s="14" t="n"/>
      <c r="B63" s="15" t="n"/>
      <c r="C63" s="15" t="n"/>
      <c r="D63" s="15" t="n"/>
      <c r="E63" s="16" t="n"/>
      <c r="F63" s="15" t="n"/>
    </row>
    <row r="64">
      <c r="A64" s="17" t="n"/>
      <c r="B64" s="12" t="n"/>
      <c r="C64" s="12" t="n"/>
      <c r="D64" s="12" t="n"/>
      <c r="E64" s="18" t="n"/>
      <c r="F64" s="12" t="n"/>
    </row>
    <row r="65">
      <c r="A65" s="14" t="n"/>
      <c r="B65" s="15" t="n"/>
      <c r="C65" s="15" t="n"/>
      <c r="D65" s="15" t="n"/>
      <c r="E65" s="16" t="n"/>
      <c r="F65" s="15" t="n"/>
    </row>
    <row r="66">
      <c r="A66" s="17" t="n"/>
      <c r="B66" s="12" t="n"/>
      <c r="C66" s="12" t="n"/>
      <c r="D66" s="12" t="n"/>
      <c r="E66" s="18" t="n"/>
      <c r="F66" s="12" t="n"/>
    </row>
    <row r="67">
      <c r="A67" s="14" t="n"/>
      <c r="B67" s="15" t="n"/>
      <c r="C67" s="15" t="n"/>
      <c r="D67" s="15" t="n"/>
      <c r="E67" s="16" t="n"/>
      <c r="F67" s="15" t="n"/>
    </row>
    <row r="68">
      <c r="A68" s="17" t="n"/>
      <c r="B68" s="12" t="n"/>
      <c r="C68" s="12" t="n"/>
      <c r="D68" s="12" t="n"/>
      <c r="E68" s="18" t="n"/>
      <c r="F68" s="12" t="n"/>
    </row>
    <row r="69">
      <c r="A69" s="14" t="n"/>
      <c r="B69" s="15" t="n"/>
      <c r="C69" s="15" t="n"/>
      <c r="D69" s="15" t="n"/>
      <c r="E69" s="16" t="n"/>
      <c r="F69" s="15" t="n"/>
    </row>
    <row r="70">
      <c r="A70" s="17" t="n"/>
      <c r="B70" s="12" t="n"/>
      <c r="C70" s="12" t="n"/>
      <c r="D70" s="12" t="n"/>
      <c r="E70" s="18" t="n"/>
      <c r="F70" s="12" t="n"/>
    </row>
    <row r="71">
      <c r="A71" s="14" t="n"/>
      <c r="B71" s="15" t="n"/>
      <c r="C71" s="15" t="n"/>
      <c r="D71" s="15" t="n"/>
      <c r="E71" s="16" t="n"/>
      <c r="F71" s="15" t="n"/>
    </row>
    <row r="72">
      <c r="A72" s="17" t="n"/>
      <c r="B72" s="12" t="n"/>
      <c r="C72" s="12" t="n"/>
      <c r="D72" s="12" t="n"/>
      <c r="E72" s="18" t="n"/>
      <c r="F72" s="12" t="n"/>
    </row>
    <row r="73">
      <c r="A73" s="14" t="n"/>
      <c r="B73" s="15" t="n"/>
      <c r="C73" s="15" t="n"/>
      <c r="D73" s="15" t="n"/>
      <c r="E73" s="16" t="n"/>
      <c r="F73" s="15" t="n"/>
    </row>
    <row r="74">
      <c r="A74" s="17" t="n"/>
      <c r="B74" s="12" t="n"/>
      <c r="C74" s="12" t="n"/>
      <c r="D74" s="12" t="n"/>
      <c r="E74" s="18" t="n"/>
      <c r="F74" s="12" t="n"/>
    </row>
    <row r="75">
      <c r="A75" s="14" t="n"/>
      <c r="B75" s="15" t="n"/>
      <c r="C75" s="15" t="n"/>
      <c r="D75" s="15" t="n"/>
      <c r="E75" s="16" t="n"/>
      <c r="F75" s="15" t="n"/>
    </row>
    <row r="76">
      <c r="A76" s="17" t="n"/>
      <c r="B76" s="12" t="n"/>
      <c r="C76" s="12" t="n"/>
      <c r="D76" s="12" t="n"/>
      <c r="E76" s="18" t="n"/>
      <c r="F76" s="12" t="n"/>
    </row>
    <row r="77">
      <c r="A77" s="14" t="n"/>
      <c r="B77" s="15" t="n"/>
      <c r="C77" s="15" t="n"/>
      <c r="D77" s="15" t="n"/>
      <c r="E77" s="16" t="n"/>
      <c r="F77" s="15" t="n"/>
    </row>
    <row r="78">
      <c r="A78" s="17" t="n"/>
      <c r="B78" s="12" t="n"/>
      <c r="C78" s="12" t="n"/>
      <c r="D78" s="12" t="n"/>
      <c r="E78" s="18" t="n"/>
      <c r="F78" s="12" t="n"/>
    </row>
    <row r="79">
      <c r="A79" s="14" t="n"/>
      <c r="B79" s="15" t="n"/>
      <c r="C79" s="15" t="n"/>
      <c r="D79" s="15" t="n"/>
      <c r="E79" s="16" t="n"/>
      <c r="F79" s="15" t="n"/>
    </row>
    <row r="80">
      <c r="A80" s="17" t="n"/>
      <c r="B80" s="12" t="n"/>
      <c r="C80" s="12" t="n"/>
      <c r="D80" s="12" t="n"/>
      <c r="E80" s="18" t="n"/>
      <c r="F80" s="12" t="n"/>
    </row>
    <row r="81">
      <c r="A81" s="14" t="n"/>
      <c r="B81" s="15" t="n"/>
      <c r="C81" s="15" t="n"/>
      <c r="D81" s="15" t="n"/>
      <c r="E81" s="16" t="n"/>
      <c r="F81" s="15" t="n"/>
    </row>
    <row r="82">
      <c r="A82" s="17" t="n"/>
      <c r="B82" s="12" t="n"/>
      <c r="C82" s="12" t="n"/>
      <c r="D82" s="12" t="n"/>
      <c r="E82" s="18" t="n"/>
      <c r="F82" s="12" t="n"/>
    </row>
    <row r="83">
      <c r="A83" s="14" t="n"/>
      <c r="B83" s="15" t="n"/>
      <c r="C83" s="15" t="n"/>
      <c r="D83" s="15" t="n"/>
      <c r="E83" s="16" t="n"/>
      <c r="F83" s="15" t="n"/>
    </row>
    <row r="84">
      <c r="A84" s="17" t="n"/>
      <c r="B84" s="12" t="n"/>
      <c r="C84" s="12" t="n"/>
      <c r="D84" s="12" t="n"/>
      <c r="E84" s="18" t="n"/>
      <c r="F84" s="12" t="n"/>
    </row>
    <row r="85">
      <c r="A85" s="14" t="n"/>
      <c r="B85" s="15" t="n"/>
      <c r="C85" s="15" t="n"/>
      <c r="D85" s="15" t="n"/>
      <c r="E85" s="16" t="n"/>
      <c r="F85" s="15" t="n"/>
    </row>
    <row r="86">
      <c r="A86" s="17" t="n"/>
      <c r="B86" s="12" t="n"/>
      <c r="C86" s="12" t="n"/>
      <c r="D86" s="12" t="n"/>
      <c r="E86" s="18" t="n"/>
      <c r="F86" s="12" t="n"/>
    </row>
    <row r="87">
      <c r="A87" s="14" t="n"/>
      <c r="B87" s="15" t="n"/>
      <c r="C87" s="15" t="n"/>
      <c r="D87" s="15" t="n"/>
      <c r="E87" s="16" t="n"/>
      <c r="F87" s="15" t="n"/>
    </row>
    <row r="88">
      <c r="A88" s="17" t="n"/>
      <c r="B88" s="12" t="n"/>
      <c r="C88" s="12" t="n"/>
      <c r="D88" s="12" t="n"/>
      <c r="E88" s="18" t="n"/>
      <c r="F88" s="12" t="n"/>
    </row>
    <row r="89">
      <c r="A89" s="14" t="n"/>
      <c r="B89" s="15" t="n"/>
      <c r="C89" s="15" t="n"/>
      <c r="D89" s="15" t="n"/>
      <c r="E89" s="16" t="n"/>
      <c r="F89" s="15" t="n"/>
    </row>
    <row r="90">
      <c r="A90" s="17" t="n"/>
      <c r="B90" s="12" t="n"/>
      <c r="C90" s="12" t="n"/>
      <c r="D90" s="12" t="n"/>
      <c r="E90" s="18" t="n"/>
      <c r="F90" s="12" t="n"/>
    </row>
    <row r="91">
      <c r="A91" s="14" t="n"/>
      <c r="B91" s="15" t="n"/>
      <c r="C91" s="15" t="n"/>
      <c r="D91" s="15" t="n"/>
      <c r="E91" s="16" t="n"/>
      <c r="F91" s="15" t="n"/>
    </row>
    <row r="92">
      <c r="A92" s="17" t="n"/>
      <c r="B92" s="12" t="n"/>
      <c r="C92" s="12" t="n"/>
      <c r="D92" s="12" t="n"/>
      <c r="E92" s="18" t="n"/>
      <c r="F92" s="12" t="n"/>
    </row>
    <row r="93">
      <c r="A93" s="14" t="n"/>
      <c r="B93" s="15" t="n"/>
      <c r="C93" s="15" t="n"/>
      <c r="D93" s="15" t="n"/>
      <c r="E93" s="16" t="n"/>
      <c r="F93" s="15" t="n"/>
    </row>
    <row r="94">
      <c r="A94" s="17" t="n"/>
      <c r="B94" s="12" t="n"/>
      <c r="C94" s="12" t="n"/>
      <c r="D94" s="12" t="n"/>
      <c r="E94" s="18" t="n"/>
      <c r="F94" s="12" t="n"/>
    </row>
    <row r="95">
      <c r="A95" s="14" t="n"/>
      <c r="B95" s="15" t="n"/>
      <c r="C95" s="15" t="n"/>
      <c r="D95" s="15" t="n"/>
      <c r="E95" s="16" t="n"/>
      <c r="F95" s="15" t="n"/>
    </row>
    <row r="96">
      <c r="A96" s="17" t="n"/>
      <c r="B96" s="12" t="n"/>
      <c r="C96" s="12" t="n"/>
      <c r="D96" s="12" t="n"/>
      <c r="E96" s="18" t="n"/>
      <c r="F96" s="12" t="n"/>
    </row>
    <row r="97">
      <c r="A97" s="14" t="n"/>
      <c r="B97" s="15" t="n"/>
      <c r="C97" s="15" t="n"/>
      <c r="D97" s="15" t="n"/>
      <c r="E97" s="16" t="n"/>
      <c r="F97" s="15" t="n"/>
    </row>
    <row r="98">
      <c r="A98" s="17" t="n"/>
      <c r="B98" s="12" t="n"/>
      <c r="C98" s="12" t="n"/>
      <c r="D98" s="12" t="n"/>
      <c r="E98" s="18" t="n"/>
      <c r="F98" s="12" t="n"/>
    </row>
    <row r="99">
      <c r="A99" s="14" t="n"/>
      <c r="B99" s="15" t="n"/>
      <c r="C99" s="15" t="n"/>
      <c r="D99" s="15" t="n"/>
      <c r="E99" s="16" t="n"/>
      <c r="F99" s="15" t="n"/>
    </row>
    <row r="100">
      <c r="A100" s="17" t="n"/>
      <c r="B100" s="12" t="n"/>
      <c r="C100" s="12" t="n"/>
      <c r="D100" s="12" t="n"/>
      <c r="E100" s="18" t="n"/>
      <c r="F100" s="12" t="n"/>
    </row>
    <row r="101">
      <c r="A101" s="14" t="n"/>
      <c r="B101" s="15" t="n"/>
      <c r="C101" s="15" t="n"/>
      <c r="D101" s="15" t="n"/>
      <c r="E101" s="16" t="n"/>
      <c r="F101" s="15" t="n"/>
    </row>
    <row r="102">
      <c r="A102" s="17" t="n"/>
      <c r="B102" s="12" t="n"/>
      <c r="C102" s="12" t="n"/>
      <c r="D102" s="12" t="n"/>
      <c r="E102" s="18" t="n"/>
      <c r="F102" s="12" t="n"/>
    </row>
    <row r="103">
      <c r="A103" s="14" t="n"/>
      <c r="B103" s="15" t="n"/>
      <c r="C103" s="15" t="n"/>
      <c r="D103" s="15" t="n"/>
      <c r="E103" s="16" t="n"/>
      <c r="F103" s="15" t="n"/>
    </row>
    <row r="104">
      <c r="A104" s="17" t="n"/>
      <c r="B104" s="12" t="n"/>
      <c r="C104" s="12" t="n"/>
      <c r="D104" s="12" t="n"/>
      <c r="E104" s="18" t="n"/>
      <c r="F104" s="12" t="n"/>
    </row>
    <row r="105">
      <c r="A105" s="14" t="n"/>
      <c r="B105" s="15" t="n"/>
      <c r="C105" s="15" t="n"/>
      <c r="D105" s="15" t="n"/>
      <c r="E105" s="16" t="n"/>
      <c r="F105" s="15" t="n"/>
    </row>
    <row r="106">
      <c r="A106" s="17" t="n"/>
      <c r="B106" s="12" t="n"/>
      <c r="C106" s="12" t="n"/>
      <c r="D106" s="12" t="n"/>
      <c r="E106" s="18" t="n"/>
      <c r="F106" s="12" t="n"/>
    </row>
    <row r="107">
      <c r="A107" s="14" t="n"/>
      <c r="B107" s="15" t="n"/>
      <c r="C107" s="15" t="n"/>
      <c r="D107" s="15" t="n"/>
      <c r="E107" s="16" t="n"/>
      <c r="F107" s="15" t="n"/>
    </row>
    <row r="108">
      <c r="A108" s="17" t="n"/>
      <c r="B108" s="12" t="n"/>
      <c r="C108" s="12" t="n"/>
      <c r="D108" s="12" t="n"/>
      <c r="E108" s="18" t="n"/>
      <c r="F108" s="12" t="n"/>
    </row>
    <row r="109">
      <c r="A109" s="14" t="n"/>
      <c r="B109" s="15" t="n"/>
      <c r="C109" s="15" t="n"/>
      <c r="D109" s="15" t="n"/>
      <c r="E109" s="16" t="n"/>
      <c r="F109" s="15" t="n"/>
    </row>
    <row r="110">
      <c r="A110" s="17" t="n"/>
      <c r="B110" s="12" t="n"/>
      <c r="C110" s="12" t="n"/>
      <c r="D110" s="12" t="n"/>
      <c r="E110" s="18" t="n"/>
      <c r="F110" s="12" t="n"/>
    </row>
    <row r="111">
      <c r="A111" s="14" t="n"/>
      <c r="B111" s="15" t="n"/>
      <c r="C111" s="15" t="n"/>
      <c r="D111" s="15" t="n"/>
      <c r="E111" s="16" t="n"/>
      <c r="F111" s="15" t="n"/>
    </row>
    <row r="112">
      <c r="A112" s="17" t="n"/>
      <c r="B112" s="12" t="n"/>
      <c r="C112" s="12" t="n"/>
      <c r="D112" s="12" t="n"/>
      <c r="E112" s="18" t="n"/>
      <c r="F112" s="12" t="n"/>
    </row>
    <row r="113">
      <c r="A113" s="14" t="n"/>
      <c r="B113" s="15" t="n"/>
      <c r="C113" s="15" t="n"/>
      <c r="D113" s="15" t="n"/>
      <c r="E113" s="16" t="n"/>
      <c r="F113" s="15" t="n"/>
    </row>
    <row r="114">
      <c r="A114" s="17" t="n"/>
      <c r="B114" s="12" t="n"/>
      <c r="C114" s="12" t="n"/>
      <c r="D114" s="12" t="n"/>
      <c r="E114" s="18" t="n"/>
      <c r="F114" s="12" t="n"/>
    </row>
    <row r="115">
      <c r="A115" s="14" t="n"/>
      <c r="B115" s="15" t="n"/>
      <c r="C115" s="15" t="n"/>
      <c r="D115" s="15" t="n"/>
      <c r="E115" s="16" t="n"/>
      <c r="F115" s="15" t="n"/>
    </row>
    <row r="116">
      <c r="A116" s="17" t="n"/>
      <c r="B116" s="12" t="n"/>
      <c r="C116" s="12" t="n"/>
      <c r="D116" s="12" t="n"/>
      <c r="E116" s="18" t="n"/>
      <c r="F116" s="12" t="n"/>
    </row>
    <row r="117">
      <c r="A117" s="14" t="n"/>
      <c r="B117" s="15" t="n"/>
      <c r="C117" s="15" t="n"/>
      <c r="D117" s="15" t="n"/>
      <c r="E117" s="16" t="n"/>
      <c r="F117" s="15" t="n"/>
    </row>
    <row r="118">
      <c r="A118" s="17" t="n"/>
      <c r="B118" s="12" t="n"/>
      <c r="C118" s="12" t="n"/>
      <c r="D118" s="12" t="n"/>
      <c r="E118" s="18" t="n"/>
      <c r="F118" s="12" t="n"/>
    </row>
    <row r="119">
      <c r="A119" s="14" t="n"/>
      <c r="B119" s="15" t="n"/>
      <c r="C119" s="15" t="n"/>
      <c r="D119" s="15" t="n"/>
      <c r="E119" s="16" t="n"/>
      <c r="F119" s="15" t="n"/>
    </row>
    <row r="120">
      <c r="A120" s="17" t="n"/>
      <c r="B120" s="12" t="n"/>
      <c r="C120" s="12" t="n"/>
      <c r="D120" s="12" t="n"/>
      <c r="E120" s="18" t="n"/>
      <c r="F120" s="12" t="n"/>
    </row>
    <row r="121">
      <c r="A121" s="14" t="n"/>
      <c r="B121" s="15" t="n"/>
      <c r="C121" s="15" t="n"/>
      <c r="D121" s="15" t="n"/>
      <c r="E121" s="16" t="n"/>
      <c r="F121" s="15" t="n"/>
    </row>
    <row r="122">
      <c r="A122" s="17" t="n"/>
      <c r="B122" s="12" t="n"/>
      <c r="C122" s="12" t="n"/>
      <c r="D122" s="12" t="n"/>
      <c r="E122" s="18" t="n"/>
      <c r="F122" s="12" t="n"/>
    </row>
    <row r="123">
      <c r="A123" s="14" t="n"/>
      <c r="B123" s="15" t="n"/>
      <c r="C123" s="15" t="n"/>
      <c r="D123" s="15" t="n"/>
      <c r="E123" s="16" t="n"/>
      <c r="F123" s="15" t="n"/>
    </row>
    <row r="124">
      <c r="A124" s="17" t="n"/>
      <c r="B124" s="12" t="n"/>
      <c r="C124" s="12" t="n"/>
      <c r="D124" s="12" t="n"/>
      <c r="E124" s="18" t="n"/>
      <c r="F124" s="12" t="n"/>
    </row>
    <row r="125">
      <c r="A125" s="14" t="n"/>
      <c r="B125" s="15" t="n"/>
      <c r="C125" s="15" t="n"/>
      <c r="D125" s="15" t="n"/>
      <c r="E125" s="16" t="n"/>
      <c r="F125" s="15" t="n"/>
    </row>
    <row r="126">
      <c r="A126" s="17" t="n"/>
      <c r="B126" s="12" t="n"/>
      <c r="C126" s="12" t="n"/>
      <c r="D126" s="12" t="n"/>
      <c r="E126" s="18" t="n"/>
      <c r="F126" s="12" t="n"/>
    </row>
    <row r="127">
      <c r="A127" s="14" t="n"/>
      <c r="B127" s="15" t="n"/>
      <c r="C127" s="15" t="n"/>
      <c r="D127" s="15" t="n"/>
      <c r="E127" s="16" t="n"/>
      <c r="F127" s="15" t="n"/>
    </row>
    <row r="128">
      <c r="A128" s="17" t="n"/>
      <c r="B128" s="12" t="n"/>
      <c r="C128" s="12" t="n"/>
      <c r="D128" s="12" t="n"/>
      <c r="E128" s="18" t="n"/>
      <c r="F128" s="12" t="n"/>
    </row>
    <row r="129">
      <c r="A129" s="14" t="n"/>
      <c r="B129" s="15" t="n"/>
      <c r="C129" s="15" t="n"/>
      <c r="D129" s="15" t="n"/>
      <c r="E129" s="16" t="n"/>
      <c r="F129" s="15" t="n"/>
    </row>
    <row r="130">
      <c r="A130" s="17" t="n"/>
      <c r="B130" s="12" t="n"/>
      <c r="C130" s="12" t="n"/>
      <c r="D130" s="12" t="n"/>
      <c r="E130" s="18" t="n"/>
      <c r="F130" s="12" t="n"/>
    </row>
    <row r="131">
      <c r="A131" s="14" t="n"/>
      <c r="B131" s="15" t="n"/>
      <c r="C131" s="15" t="n"/>
      <c r="D131" s="15" t="n"/>
      <c r="E131" s="16" t="n"/>
      <c r="F131" s="15" t="n"/>
    </row>
    <row r="132">
      <c r="A132" s="17" t="n"/>
      <c r="B132" s="12" t="n"/>
      <c r="C132" s="12" t="n"/>
      <c r="D132" s="12" t="n"/>
      <c r="E132" s="18" t="n"/>
      <c r="F132" s="12" t="n"/>
    </row>
    <row r="133">
      <c r="A133" s="14" t="n"/>
      <c r="B133" s="15" t="n"/>
      <c r="C133" s="15" t="n"/>
      <c r="D133" s="15" t="n"/>
      <c r="E133" s="16" t="n"/>
      <c r="F133" s="15" t="n"/>
    </row>
    <row r="134">
      <c r="A134" s="17" t="n"/>
      <c r="B134" s="12" t="n"/>
      <c r="C134" s="12" t="n"/>
      <c r="D134" s="12" t="n"/>
      <c r="E134" s="18" t="n"/>
      <c r="F134" s="12" t="n"/>
    </row>
    <row r="135">
      <c r="A135" s="14" t="n"/>
      <c r="B135" s="15" t="n"/>
      <c r="C135" s="15" t="n"/>
      <c r="D135" s="15" t="n"/>
      <c r="E135" s="16" t="n"/>
      <c r="F135" s="15" t="n"/>
    </row>
    <row r="136">
      <c r="A136" s="17" t="n"/>
      <c r="B136" s="12" t="n"/>
      <c r="C136" s="12" t="n"/>
      <c r="D136" s="12" t="n"/>
      <c r="E136" s="18" t="n"/>
      <c r="F136" s="12" t="n"/>
    </row>
    <row r="137">
      <c r="A137" s="14" t="n"/>
      <c r="B137" s="15" t="n"/>
      <c r="C137" s="15" t="n"/>
      <c r="D137" s="15" t="n"/>
      <c r="E137" s="16" t="n"/>
      <c r="F137" s="15" t="n"/>
    </row>
    <row r="138">
      <c r="A138" s="17" t="n"/>
      <c r="B138" s="12" t="n"/>
      <c r="C138" s="12" t="n"/>
      <c r="D138" s="12" t="n"/>
      <c r="E138" s="18" t="n"/>
      <c r="F138" s="12" t="n"/>
    </row>
    <row r="139">
      <c r="A139" s="14" t="n"/>
      <c r="B139" s="15" t="n"/>
      <c r="C139" s="15" t="n"/>
      <c r="D139" s="15" t="n"/>
      <c r="E139" s="16" t="n"/>
      <c r="F139" s="15" t="n"/>
    </row>
    <row r="140">
      <c r="A140" s="17" t="n"/>
      <c r="B140" s="12" t="n"/>
      <c r="C140" s="12" t="n"/>
      <c r="D140" s="12" t="n"/>
      <c r="E140" s="18" t="n"/>
      <c r="F140" s="12" t="n"/>
    </row>
    <row r="141">
      <c r="A141" s="14" t="n"/>
      <c r="B141" s="15" t="n"/>
      <c r="C141" s="15" t="n"/>
      <c r="D141" s="15" t="n"/>
      <c r="E141" s="16" t="n"/>
      <c r="F141" s="15" t="n"/>
    </row>
    <row r="142">
      <c r="A142" s="17" t="n"/>
      <c r="B142" s="12" t="n"/>
      <c r="C142" s="12" t="n"/>
      <c r="D142" s="12" t="n"/>
      <c r="E142" s="18" t="n"/>
      <c r="F142" s="12" t="n"/>
    </row>
    <row r="143">
      <c r="A143" s="14" t="n"/>
      <c r="B143" s="15" t="n"/>
      <c r="C143" s="15" t="n"/>
      <c r="D143" s="15" t="n"/>
      <c r="E143" s="16" t="n"/>
      <c r="F143" s="15" t="n"/>
    </row>
    <row r="144">
      <c r="A144" s="17" t="n"/>
      <c r="B144" s="12" t="n"/>
      <c r="C144" s="12" t="n"/>
      <c r="D144" s="12" t="n"/>
      <c r="E144" s="18" t="n"/>
      <c r="F144" s="12" t="n"/>
    </row>
    <row r="145">
      <c r="A145" s="14" t="n"/>
      <c r="B145" s="15" t="n"/>
      <c r="C145" s="15" t="n"/>
      <c r="D145" s="15" t="n"/>
      <c r="E145" s="16" t="n"/>
      <c r="F145" s="15" t="n"/>
    </row>
    <row r="146">
      <c r="A146" s="17" t="n"/>
      <c r="B146" s="12" t="n"/>
      <c r="C146" s="12" t="n"/>
      <c r="D146" s="12" t="n"/>
      <c r="E146" s="18" t="n"/>
      <c r="F146" s="12" t="n"/>
    </row>
    <row r="147">
      <c r="A147" s="14" t="n"/>
      <c r="B147" s="15" t="n"/>
      <c r="C147" s="15" t="n"/>
      <c r="D147" s="15" t="n"/>
      <c r="E147" s="16" t="n"/>
      <c r="F147" s="15" t="n"/>
    </row>
    <row r="148">
      <c r="A148" s="17" t="n"/>
      <c r="B148" s="12" t="n"/>
      <c r="C148" s="12" t="n"/>
      <c r="D148" s="12" t="n"/>
      <c r="E148" s="18" t="n"/>
      <c r="F148" s="12" t="n"/>
    </row>
    <row r="149">
      <c r="A149" s="14" t="n"/>
      <c r="B149" s="15" t="n"/>
      <c r="C149" s="15" t="n"/>
      <c r="D149" s="15" t="n"/>
      <c r="E149" s="16" t="n"/>
      <c r="F149" s="15" t="n"/>
    </row>
    <row r="150">
      <c r="A150" s="17" t="n"/>
      <c r="B150" s="12" t="n"/>
      <c r="C150" s="12" t="n"/>
      <c r="D150" s="12" t="n"/>
      <c r="E150" s="18" t="n"/>
      <c r="F150" s="12" t="n"/>
    </row>
    <row r="151">
      <c r="A151" s="14" t="n"/>
      <c r="B151" s="15" t="n"/>
      <c r="C151" s="15" t="n"/>
      <c r="D151" s="15" t="n"/>
      <c r="E151" s="16" t="n"/>
      <c r="F151" s="15" t="n"/>
    </row>
    <row r="152">
      <c r="A152" s="17" t="n"/>
      <c r="B152" s="12" t="n"/>
      <c r="C152" s="12" t="n"/>
      <c r="D152" s="12" t="n"/>
      <c r="E152" s="18" t="n"/>
      <c r="F152" s="12" t="n"/>
    </row>
    <row r="153">
      <c r="A153" s="14" t="n"/>
      <c r="B153" s="15" t="n"/>
      <c r="C153" s="15" t="n"/>
      <c r="D153" s="15" t="n"/>
      <c r="E153" s="16" t="n"/>
      <c r="F153" s="15" t="n"/>
    </row>
    <row r="154">
      <c r="A154" s="17" t="n"/>
      <c r="B154" s="12" t="n"/>
      <c r="C154" s="12" t="n"/>
      <c r="D154" s="12" t="n"/>
      <c r="E154" s="18" t="n"/>
      <c r="F154" s="12" t="n"/>
    </row>
    <row r="155">
      <c r="A155" s="14" t="n"/>
      <c r="B155" s="15" t="n"/>
      <c r="C155" s="15" t="n"/>
      <c r="D155" s="15" t="n"/>
      <c r="E155" s="16" t="n"/>
      <c r="F155" s="15" t="n"/>
    </row>
    <row r="156">
      <c r="A156" s="17" t="n"/>
      <c r="B156" s="12" t="n"/>
      <c r="C156" s="12" t="n"/>
      <c r="D156" s="12" t="n"/>
      <c r="E156" s="18" t="n"/>
      <c r="F156" s="12" t="n"/>
    </row>
    <row r="157">
      <c r="A157" s="14" t="n"/>
      <c r="B157" s="15" t="n"/>
      <c r="C157" s="15" t="n"/>
      <c r="D157" s="15" t="n"/>
      <c r="E157" s="16" t="n"/>
      <c r="F157" s="15" t="n"/>
    </row>
    <row r="158">
      <c r="A158" s="17" t="n"/>
      <c r="B158" s="12" t="n"/>
      <c r="C158" s="12" t="n"/>
      <c r="D158" s="12" t="n"/>
      <c r="E158" s="18" t="n"/>
      <c r="F158" s="12" t="n"/>
    </row>
    <row r="159">
      <c r="A159" s="14" t="n"/>
      <c r="B159" s="15" t="n"/>
      <c r="C159" s="15" t="n"/>
      <c r="D159" s="15" t="n"/>
      <c r="E159" s="16" t="n"/>
      <c r="F159" s="15" t="n"/>
    </row>
    <row r="160">
      <c r="A160" s="17" t="n"/>
      <c r="B160" s="12" t="n"/>
      <c r="C160" s="12" t="n"/>
      <c r="D160" s="12" t="n"/>
      <c r="E160" s="18" t="n"/>
      <c r="F160" s="12" t="n"/>
    </row>
    <row r="161">
      <c r="A161" s="14" t="n"/>
      <c r="B161" s="15" t="n"/>
      <c r="C161" s="15" t="n"/>
      <c r="D161" s="15" t="n"/>
      <c r="E161" s="16" t="n"/>
      <c r="F161" s="15" t="n"/>
    </row>
    <row r="162">
      <c r="A162" s="17" t="n"/>
      <c r="B162" s="12" t="n"/>
      <c r="C162" s="12" t="n"/>
      <c r="D162" s="12" t="n"/>
      <c r="E162" s="18" t="n"/>
      <c r="F162" s="12" t="n"/>
    </row>
    <row r="163">
      <c r="A163" s="14" t="n"/>
      <c r="B163" s="15" t="n"/>
      <c r="C163" s="15" t="n"/>
      <c r="D163" s="15" t="n"/>
      <c r="E163" s="16" t="n"/>
      <c r="F163" s="15" t="n"/>
    </row>
    <row r="164">
      <c r="A164" s="17" t="n"/>
      <c r="B164" s="12" t="n"/>
      <c r="C164" s="12" t="n"/>
      <c r="D164" s="12" t="n"/>
      <c r="E164" s="18" t="n"/>
      <c r="F164" s="12" t="n"/>
    </row>
    <row r="165">
      <c r="A165" s="14" t="n"/>
      <c r="B165" s="15" t="n"/>
      <c r="C165" s="15" t="n"/>
      <c r="D165" s="15" t="n"/>
      <c r="E165" s="16" t="n"/>
      <c r="F165" s="15" t="n"/>
    </row>
    <row r="166">
      <c r="A166" s="17" t="n"/>
      <c r="B166" s="12" t="n"/>
      <c r="C166" s="12" t="n"/>
      <c r="D166" s="12" t="n"/>
      <c r="E166" s="18" t="n"/>
      <c r="F166" s="12" t="n"/>
    </row>
    <row r="167">
      <c r="A167" s="14" t="n"/>
      <c r="B167" s="15" t="n"/>
      <c r="C167" s="15" t="n"/>
      <c r="D167" s="15" t="n"/>
      <c r="E167" s="16" t="n"/>
      <c r="F167" s="15" t="n"/>
    </row>
    <row r="168">
      <c r="A168" s="17" t="n"/>
      <c r="B168" s="12" t="n"/>
      <c r="C168" s="12" t="n"/>
      <c r="D168" s="12" t="n"/>
      <c r="E168" s="18" t="n"/>
      <c r="F168" s="12" t="n"/>
    </row>
    <row r="169">
      <c r="A169" s="14" t="n"/>
      <c r="B169" s="15" t="n"/>
      <c r="C169" s="15" t="n"/>
      <c r="D169" s="15" t="n"/>
      <c r="E169" s="16" t="n"/>
      <c r="F169" s="15" t="n"/>
    </row>
    <row r="170">
      <c r="A170" s="17" t="n"/>
      <c r="B170" s="12" t="n"/>
      <c r="C170" s="12" t="n"/>
      <c r="D170" s="12" t="n"/>
      <c r="E170" s="18" t="n"/>
      <c r="F170" s="12" t="n"/>
    </row>
    <row r="171">
      <c r="A171" s="14" t="n"/>
      <c r="B171" s="15" t="n"/>
      <c r="C171" s="15" t="n"/>
      <c r="D171" s="15" t="n"/>
      <c r="E171" s="16" t="n"/>
      <c r="F171" s="15" t="n"/>
    </row>
    <row r="172">
      <c r="A172" s="17" t="n"/>
      <c r="B172" s="12" t="n"/>
      <c r="C172" s="12" t="n"/>
      <c r="D172" s="12" t="n"/>
      <c r="E172" s="18" t="n"/>
      <c r="F172" s="12" t="n"/>
    </row>
    <row r="173">
      <c r="A173" s="14" t="n"/>
      <c r="B173" s="15" t="n"/>
      <c r="C173" s="15" t="n"/>
      <c r="D173" s="15" t="n"/>
      <c r="E173" s="16" t="n"/>
      <c r="F173" s="15" t="n"/>
    </row>
    <row r="174">
      <c r="A174" s="17" t="n"/>
      <c r="B174" s="12" t="n"/>
      <c r="C174" s="12" t="n"/>
      <c r="D174" s="12" t="n"/>
      <c r="E174" s="18" t="n"/>
      <c r="F174" s="12" t="n"/>
    </row>
    <row r="175">
      <c r="A175" s="14" t="n"/>
      <c r="B175" s="15" t="n"/>
      <c r="C175" s="15" t="n"/>
      <c r="D175" s="15" t="n"/>
      <c r="E175" s="16" t="n"/>
      <c r="F175" s="15" t="n"/>
    </row>
    <row r="176">
      <c r="A176" s="17" t="n"/>
      <c r="B176" s="12" t="n"/>
      <c r="C176" s="12" t="n"/>
      <c r="D176" s="12" t="n"/>
      <c r="E176" s="18" t="n"/>
      <c r="F176" s="12" t="n"/>
    </row>
    <row r="177">
      <c r="A177" s="14" t="n"/>
      <c r="B177" s="15" t="n"/>
      <c r="C177" s="15" t="n"/>
      <c r="D177" s="15" t="n"/>
      <c r="E177" s="16" t="n"/>
      <c r="F177" s="15" t="n"/>
    </row>
    <row r="178">
      <c r="A178" s="17" t="n"/>
      <c r="B178" s="12" t="n"/>
      <c r="C178" s="12" t="n"/>
      <c r="D178" s="12" t="n"/>
      <c r="E178" s="18" t="n"/>
      <c r="F178" s="12" t="n"/>
    </row>
    <row r="179">
      <c r="A179" s="14" t="n"/>
      <c r="B179" s="15" t="n"/>
      <c r="C179" s="15" t="n"/>
      <c r="D179" s="15" t="n"/>
      <c r="E179" s="16" t="n"/>
      <c r="F179" s="15" t="n"/>
    </row>
    <row r="180">
      <c r="A180" s="17" t="n"/>
      <c r="B180" s="12" t="n"/>
      <c r="C180" s="12" t="n"/>
      <c r="D180" s="12" t="n"/>
      <c r="E180" s="18" t="n"/>
      <c r="F180" s="12" t="n"/>
    </row>
    <row r="181">
      <c r="A181" s="14" t="n"/>
      <c r="B181" s="15" t="n"/>
      <c r="C181" s="15" t="n"/>
      <c r="D181" s="15" t="n"/>
      <c r="E181" s="16" t="n"/>
      <c r="F181" s="15" t="n"/>
    </row>
    <row r="182">
      <c r="A182" s="17" t="n"/>
      <c r="B182" s="12" t="n"/>
      <c r="C182" s="12" t="n"/>
      <c r="D182" s="12" t="n"/>
      <c r="E182" s="18" t="n"/>
      <c r="F182" s="12" t="n"/>
    </row>
    <row r="183">
      <c r="A183" s="14" t="n"/>
      <c r="B183" s="15" t="n"/>
      <c r="C183" s="15" t="n"/>
      <c r="D183" s="15" t="n"/>
      <c r="E183" s="16" t="n"/>
      <c r="F183" s="15" t="n"/>
    </row>
    <row r="184">
      <c r="A184" s="17" t="n"/>
      <c r="B184" s="12" t="n"/>
      <c r="C184" s="12" t="n"/>
      <c r="D184" s="12" t="n"/>
      <c r="E184" s="18" t="n"/>
      <c r="F184" s="12" t="n"/>
    </row>
    <row r="185">
      <c r="A185" s="14" t="n"/>
      <c r="B185" s="15" t="n"/>
      <c r="C185" s="15" t="n"/>
      <c r="D185" s="15" t="n"/>
      <c r="E185" s="16" t="n"/>
      <c r="F185" s="15" t="n"/>
    </row>
    <row r="186">
      <c r="A186" s="17" t="n"/>
      <c r="B186" s="12" t="n"/>
      <c r="C186" s="12" t="n"/>
      <c r="D186" s="12" t="n"/>
      <c r="E186" s="18" t="n"/>
      <c r="F186" s="12" t="n"/>
    </row>
    <row r="187">
      <c r="A187" s="14" t="n"/>
      <c r="B187" s="15" t="n"/>
      <c r="C187" s="15" t="n"/>
      <c r="D187" s="15" t="n"/>
      <c r="E187" s="16" t="n"/>
      <c r="F187" s="15" t="n"/>
    </row>
    <row r="188">
      <c r="A188" s="17" t="n"/>
      <c r="B188" s="12" t="n"/>
      <c r="C188" s="12" t="n"/>
      <c r="D188" s="12" t="n"/>
      <c r="E188" s="18" t="n"/>
      <c r="F188" s="12" t="n"/>
    </row>
    <row r="189">
      <c r="A189" s="14" t="n"/>
      <c r="B189" s="15" t="n"/>
      <c r="C189" s="15" t="n"/>
      <c r="D189" s="15" t="n"/>
      <c r="E189" s="16" t="n"/>
      <c r="F189" s="15" t="n"/>
    </row>
    <row r="190">
      <c r="A190" s="17" t="n"/>
      <c r="B190" s="12" t="n"/>
      <c r="C190" s="12" t="n"/>
      <c r="D190" s="12" t="n"/>
      <c r="E190" s="18" t="n"/>
      <c r="F190" s="12" t="n"/>
    </row>
    <row r="191">
      <c r="A191" s="14" t="n"/>
      <c r="B191" s="15" t="n"/>
      <c r="C191" s="15" t="n"/>
      <c r="D191" s="15" t="n"/>
      <c r="E191" s="16" t="n"/>
      <c r="F191" s="15" t="n"/>
    </row>
    <row r="192">
      <c r="A192" s="17" t="n"/>
      <c r="B192" s="12" t="n"/>
      <c r="C192" s="12" t="n"/>
      <c r="D192" s="12" t="n"/>
      <c r="E192" s="18" t="n"/>
      <c r="F192" s="12" t="n"/>
    </row>
    <row r="193">
      <c r="A193" s="14" t="n"/>
      <c r="B193" s="15" t="n"/>
      <c r="C193" s="15" t="n"/>
      <c r="D193" s="15" t="n"/>
      <c r="E193" s="16" t="n"/>
      <c r="F193" s="15" t="n"/>
    </row>
    <row r="194">
      <c r="A194" s="17" t="n"/>
      <c r="B194" s="12" t="n"/>
      <c r="C194" s="12" t="n"/>
      <c r="D194" s="12" t="n"/>
      <c r="E194" s="18" t="n"/>
      <c r="F194" s="12" t="n"/>
    </row>
    <row r="195">
      <c r="A195" s="14" t="n"/>
      <c r="B195" s="15" t="n"/>
      <c r="C195" s="15" t="n"/>
      <c r="D195" s="15" t="n"/>
      <c r="E195" s="16" t="n"/>
      <c r="F195" s="15" t="n"/>
    </row>
    <row r="196">
      <c r="A196" s="17" t="n"/>
      <c r="B196" s="12" t="n"/>
      <c r="C196" s="12" t="n"/>
      <c r="D196" s="12" t="n"/>
      <c r="E196" s="18" t="n"/>
      <c r="F196" s="12" t="n"/>
    </row>
    <row r="197">
      <c r="A197" s="14" t="n"/>
      <c r="B197" s="15" t="n"/>
      <c r="C197" s="15" t="n"/>
      <c r="D197" s="15" t="n"/>
      <c r="E197" s="16" t="n"/>
      <c r="F197" s="15" t="n"/>
    </row>
    <row r="198">
      <c r="A198" s="17" t="n"/>
      <c r="B198" s="12" t="n"/>
      <c r="C198" s="12" t="n"/>
      <c r="D198" s="12" t="n"/>
      <c r="E198" s="18" t="n"/>
      <c r="F198" s="12" t="n"/>
    </row>
    <row r="199">
      <c r="A199" s="14" t="n"/>
      <c r="B199" s="15" t="n"/>
      <c r="C199" s="15" t="n"/>
      <c r="D199" s="15" t="n"/>
      <c r="E199" s="16" t="n"/>
      <c r="F199" s="15" t="n"/>
    </row>
    <row r="200">
      <c r="A200" s="17" t="n"/>
      <c r="B200" s="12" t="n"/>
      <c r="C200" s="12" t="n"/>
      <c r="D200" s="12" t="n"/>
      <c r="E200" s="18" t="n"/>
      <c r="F200" s="12" t="n"/>
    </row>
    <row r="201">
      <c r="A201" s="14" t="n"/>
      <c r="B201" s="15" t="n"/>
      <c r="C201" s="15" t="n"/>
      <c r="D201" s="15" t="n"/>
      <c r="E201" s="16" t="n"/>
      <c r="F201" s="15" t="n"/>
    </row>
    <row r="202">
      <c r="A202" s="17" t="n"/>
      <c r="B202" s="12" t="n"/>
      <c r="C202" s="12" t="n"/>
      <c r="D202" s="12" t="n"/>
      <c r="E202" s="18" t="n"/>
      <c r="F202" s="12" t="n"/>
    </row>
    <row r="203">
      <c r="A203" s="14" t="n"/>
      <c r="B203" s="15" t="n"/>
      <c r="C203" s="15" t="n"/>
      <c r="D203" s="15" t="n"/>
      <c r="E203" s="16" t="n"/>
      <c r="F203" s="15" t="n"/>
    </row>
    <row r="204">
      <c r="A204" s="17" t="n"/>
      <c r="B204" s="12" t="n"/>
      <c r="C204" s="12" t="n"/>
      <c r="D204" s="12" t="n"/>
      <c r="E204" s="18" t="n"/>
      <c r="F204" s="12" t="n"/>
    </row>
    <row r="205">
      <c r="A205" s="14" t="n"/>
      <c r="B205" s="15" t="n"/>
      <c r="C205" s="15" t="n"/>
      <c r="D205" s="15" t="n"/>
      <c r="E205" s="16" t="n"/>
      <c r="F205" s="15" t="n"/>
    </row>
    <row r="206">
      <c r="A206" s="17" t="n"/>
      <c r="B206" s="12" t="n"/>
      <c r="C206" s="12" t="n"/>
      <c r="D206" s="12" t="n"/>
      <c r="E206" s="18" t="n"/>
      <c r="F206" s="12" t="n"/>
    </row>
    <row r="207">
      <c r="A207" s="14" t="n"/>
      <c r="B207" s="15" t="n"/>
      <c r="C207" s="15" t="n"/>
      <c r="D207" s="15" t="n"/>
      <c r="E207" s="16" t="n"/>
      <c r="F207" s="15" t="n"/>
    </row>
    <row r="208">
      <c r="A208" s="17" t="n"/>
      <c r="B208" s="12" t="n"/>
      <c r="C208" s="12" t="n"/>
      <c r="D208" s="12" t="n"/>
      <c r="E208" s="18" t="n"/>
      <c r="F208" s="12" t="n"/>
    </row>
    <row r="209">
      <c r="A209" s="14" t="n"/>
      <c r="B209" s="15" t="n"/>
      <c r="C209" s="15" t="n"/>
      <c r="D209" s="15" t="n"/>
      <c r="E209" s="16" t="n"/>
      <c r="F209" s="15" t="n"/>
    </row>
    <row r="210">
      <c r="A210" s="17" t="n"/>
      <c r="B210" s="12" t="n"/>
      <c r="C210" s="12" t="n"/>
      <c r="D210" s="12" t="n"/>
      <c r="E210" s="18" t="n"/>
      <c r="F210" s="12" t="n"/>
    </row>
    <row r="211">
      <c r="A211" s="14" t="n"/>
      <c r="B211" s="15" t="n"/>
      <c r="C211" s="15" t="n"/>
      <c r="D211" s="15" t="n"/>
      <c r="E211" s="16" t="n"/>
      <c r="F211" s="15" t="n"/>
    </row>
    <row r="212">
      <c r="A212" s="17" t="n"/>
      <c r="B212" s="12" t="n"/>
      <c r="C212" s="12" t="n"/>
      <c r="D212" s="12" t="n"/>
      <c r="E212" s="18" t="n"/>
      <c r="F212" s="12" t="n"/>
    </row>
    <row r="213">
      <c r="A213" s="14" t="n"/>
      <c r="B213" s="15" t="n"/>
      <c r="C213" s="15" t="n"/>
      <c r="D213" s="15" t="n"/>
      <c r="E213" s="16" t="n"/>
      <c r="F213" s="15" t="n"/>
    </row>
    <row r="214">
      <c r="A214" s="17" t="n"/>
      <c r="B214" s="12" t="n"/>
      <c r="C214" s="12" t="n"/>
      <c r="D214" s="12" t="n"/>
      <c r="E214" s="18" t="n"/>
      <c r="F214" s="12" t="n"/>
    </row>
    <row r="215">
      <c r="A215" s="14" t="n"/>
      <c r="B215" s="15" t="n"/>
      <c r="C215" s="15" t="n"/>
      <c r="D215" s="15" t="n"/>
      <c r="E215" s="16" t="n"/>
      <c r="F215" s="15" t="n"/>
    </row>
    <row r="216">
      <c r="A216" s="17" t="n"/>
      <c r="B216" s="12" t="n"/>
      <c r="C216" s="12" t="n"/>
      <c r="D216" s="12" t="n"/>
      <c r="E216" s="18" t="n"/>
      <c r="F216" s="12" t="n"/>
    </row>
    <row r="217">
      <c r="A217" s="14" t="n"/>
      <c r="B217" s="15" t="n"/>
      <c r="C217" s="15" t="n"/>
      <c r="D217" s="15" t="n"/>
      <c r="E217" s="16" t="n"/>
      <c r="F217" s="15" t="n"/>
    </row>
    <row r="218">
      <c r="A218" s="17" t="n"/>
      <c r="B218" s="12" t="n"/>
      <c r="C218" s="12" t="n"/>
      <c r="D218" s="12" t="n"/>
      <c r="E218" s="18" t="n"/>
      <c r="F218" s="12" t="n"/>
    </row>
    <row r="219">
      <c r="A219" s="14" t="n"/>
      <c r="B219" s="15" t="n"/>
      <c r="C219" s="15" t="n"/>
      <c r="D219" s="15" t="n"/>
      <c r="E219" s="16" t="n"/>
      <c r="F219" s="15" t="n"/>
    </row>
    <row r="220">
      <c r="A220" s="17" t="n"/>
      <c r="B220" s="12" t="n"/>
      <c r="C220" s="12" t="n"/>
      <c r="D220" s="12" t="n"/>
      <c r="E220" s="18" t="n"/>
      <c r="F220" s="12" t="n"/>
    </row>
    <row r="221">
      <c r="A221" s="14" t="n"/>
      <c r="B221" s="15" t="n"/>
      <c r="C221" s="15" t="n"/>
      <c r="D221" s="15" t="n"/>
      <c r="E221" s="16" t="n"/>
      <c r="F221" s="15" t="n"/>
    </row>
    <row r="222">
      <c r="A222" s="17" t="n"/>
      <c r="B222" s="12" t="n"/>
      <c r="C222" s="12" t="n"/>
      <c r="D222" s="12" t="n"/>
      <c r="E222" s="18" t="n"/>
      <c r="F222" s="12" t="n"/>
    </row>
    <row r="223">
      <c r="A223" s="14" t="n"/>
      <c r="B223" s="15" t="n"/>
      <c r="C223" s="15" t="n"/>
      <c r="D223" s="15" t="n"/>
      <c r="E223" s="16" t="n"/>
      <c r="F223" s="15" t="n"/>
    </row>
    <row r="224">
      <c r="A224" s="17" t="n"/>
      <c r="B224" s="12" t="n"/>
      <c r="C224" s="12" t="n"/>
      <c r="D224" s="12" t="n"/>
      <c r="E224" s="18" t="n"/>
      <c r="F224" s="12" t="n"/>
    </row>
    <row r="225">
      <c r="A225" s="14" t="n"/>
      <c r="B225" s="15" t="n"/>
      <c r="C225" s="15" t="n"/>
      <c r="D225" s="15" t="n"/>
      <c r="E225" s="16" t="n"/>
      <c r="F225" s="15" t="n"/>
    </row>
    <row r="226">
      <c r="A226" s="17" t="n"/>
      <c r="B226" s="12" t="n"/>
      <c r="C226" s="12" t="n"/>
      <c r="D226" s="12" t="n"/>
      <c r="E226" s="18" t="n"/>
      <c r="F226" s="12" t="n"/>
    </row>
    <row r="227">
      <c r="A227" s="14" t="n"/>
      <c r="B227" s="15" t="n"/>
      <c r="C227" s="15" t="n"/>
      <c r="D227" s="15" t="n"/>
      <c r="E227" s="16" t="n"/>
      <c r="F227" s="15" t="n"/>
    </row>
    <row r="228">
      <c r="A228" s="17" t="n"/>
      <c r="B228" s="12" t="n"/>
      <c r="C228" s="12" t="n"/>
      <c r="D228" s="12" t="n"/>
      <c r="E228" s="18" t="n"/>
      <c r="F228" s="12" t="n"/>
    </row>
    <row r="229">
      <c r="A229" s="14" t="n"/>
      <c r="B229" s="15" t="n"/>
      <c r="C229" s="15" t="n"/>
      <c r="D229" s="15" t="n"/>
      <c r="E229" s="16" t="n"/>
      <c r="F229" s="15" t="n"/>
    </row>
    <row r="230">
      <c r="A230" s="17" t="n"/>
      <c r="B230" s="12" t="n"/>
      <c r="C230" s="12" t="n"/>
      <c r="D230" s="12" t="n"/>
      <c r="E230" s="18" t="n"/>
      <c r="F230" s="12" t="n"/>
    </row>
    <row r="231">
      <c r="A231" s="14" t="n"/>
      <c r="B231" s="15" t="n"/>
      <c r="C231" s="15" t="n"/>
      <c r="D231" s="15" t="n"/>
      <c r="E231" s="16" t="n"/>
      <c r="F231" s="15" t="n"/>
    </row>
    <row r="232">
      <c r="A232" s="17" t="n"/>
      <c r="B232" s="12" t="n"/>
      <c r="C232" s="12" t="n"/>
      <c r="D232" s="12" t="n"/>
      <c r="E232" s="18" t="n"/>
      <c r="F232" s="12" t="n"/>
    </row>
    <row r="233">
      <c r="A233" s="14" t="n"/>
      <c r="B233" s="15" t="n"/>
      <c r="C233" s="15" t="n"/>
      <c r="D233" s="15" t="n"/>
      <c r="E233" s="16" t="n"/>
      <c r="F233" s="15" t="n"/>
    </row>
    <row r="234">
      <c r="A234" s="17" t="n"/>
      <c r="B234" s="12" t="n"/>
      <c r="C234" s="12" t="n"/>
      <c r="D234" s="12" t="n"/>
      <c r="E234" s="18" t="n"/>
      <c r="F234" s="12" t="n"/>
    </row>
    <row r="235">
      <c r="A235" s="14" t="n"/>
      <c r="B235" s="15" t="n"/>
      <c r="C235" s="15" t="n"/>
      <c r="D235" s="15" t="n"/>
      <c r="E235" s="16" t="n"/>
      <c r="F235" s="15" t="n"/>
    </row>
    <row r="236">
      <c r="A236" s="17" t="n"/>
      <c r="B236" s="12" t="n"/>
      <c r="C236" s="12" t="n"/>
      <c r="D236" s="12" t="n"/>
      <c r="E236" s="18" t="n"/>
      <c r="F236" s="12" t="n"/>
    </row>
    <row r="237">
      <c r="A237" s="14" t="n"/>
      <c r="B237" s="15" t="n"/>
      <c r="C237" s="15" t="n"/>
      <c r="D237" s="15" t="n"/>
      <c r="E237" s="16" t="n"/>
      <c r="F237" s="15" t="n"/>
    </row>
    <row r="238">
      <c r="A238" s="17" t="n"/>
      <c r="B238" s="12" t="n"/>
      <c r="C238" s="12" t="n"/>
      <c r="D238" s="12" t="n"/>
      <c r="E238" s="18" t="n"/>
      <c r="F238" s="12" t="n"/>
    </row>
    <row r="239">
      <c r="A239" s="14" t="n"/>
      <c r="B239" s="15" t="n"/>
      <c r="C239" s="15" t="n"/>
      <c r="D239" s="15" t="n"/>
      <c r="E239" s="16" t="n"/>
      <c r="F239" s="15" t="n"/>
    </row>
    <row r="240">
      <c r="A240" s="17" t="n"/>
      <c r="B240" s="12" t="n"/>
      <c r="C240" s="12" t="n"/>
      <c r="D240" s="12" t="n"/>
      <c r="E240" s="18" t="n"/>
      <c r="F240" s="12" t="n"/>
    </row>
    <row r="241">
      <c r="A241" s="14" t="n"/>
      <c r="B241" s="15" t="n"/>
      <c r="C241" s="15" t="n"/>
      <c r="D241" s="15" t="n"/>
      <c r="E241" s="16" t="n"/>
      <c r="F241" s="15" t="n"/>
    </row>
    <row r="242">
      <c r="A242" s="17" t="n"/>
      <c r="B242" s="12" t="n"/>
      <c r="C242" s="12" t="n"/>
      <c r="D242" s="12" t="n"/>
      <c r="E242" s="18" t="n"/>
      <c r="F242" s="12" t="n"/>
    </row>
    <row r="243">
      <c r="A243" s="14" t="n"/>
      <c r="B243" s="15" t="n"/>
      <c r="C243" s="15" t="n"/>
      <c r="D243" s="15" t="n"/>
      <c r="E243" s="16" t="n"/>
      <c r="F243" s="15" t="n"/>
    </row>
    <row r="244">
      <c r="A244" s="17" t="n"/>
      <c r="B244" s="12" t="n"/>
      <c r="C244" s="12" t="n"/>
      <c r="D244" s="12" t="n"/>
      <c r="E244" s="18" t="n"/>
      <c r="F244" s="12" t="n"/>
    </row>
    <row r="245">
      <c r="A245" s="14" t="n"/>
      <c r="B245" s="15" t="n"/>
      <c r="C245" s="15" t="n"/>
      <c r="D245" s="15" t="n"/>
      <c r="E245" s="16" t="n"/>
      <c r="F245" s="15" t="n"/>
    </row>
    <row r="246">
      <c r="A246" s="17" t="n"/>
      <c r="B246" s="12" t="n"/>
      <c r="C246" s="12" t="n"/>
      <c r="D246" s="12" t="n"/>
      <c r="E246" s="18" t="n"/>
      <c r="F246" s="12" t="n"/>
    </row>
    <row r="247">
      <c r="A247" s="14" t="n"/>
      <c r="B247" s="15" t="n"/>
      <c r="C247" s="15" t="n"/>
      <c r="D247" s="15" t="n"/>
      <c r="E247" s="16" t="n"/>
      <c r="F247" s="15" t="n"/>
    </row>
    <row r="248">
      <c r="A248" s="17" t="n"/>
      <c r="B248" s="12" t="n"/>
      <c r="C248" s="12" t="n"/>
      <c r="D248" s="12" t="n"/>
      <c r="E248" s="18" t="n"/>
      <c r="F248" s="12" t="n"/>
    </row>
    <row r="249">
      <c r="A249" s="14" t="n"/>
      <c r="B249" s="15" t="n"/>
      <c r="C249" s="15" t="n"/>
      <c r="D249" s="15" t="n"/>
      <c r="E249" s="16" t="n"/>
      <c r="F249" s="15" t="n"/>
    </row>
    <row r="250">
      <c r="A250" s="17" t="n"/>
      <c r="B250" s="12" t="n"/>
      <c r="C250" s="12" t="n"/>
      <c r="D250" s="12" t="n"/>
      <c r="E250" s="18" t="n"/>
      <c r="F250" s="12" t="n"/>
    </row>
    <row r="251">
      <c r="A251" s="14" t="n"/>
      <c r="B251" s="15" t="n"/>
      <c r="C251" s="15" t="n"/>
      <c r="D251" s="15" t="n"/>
      <c r="E251" s="16" t="n"/>
      <c r="F251" s="15" t="n"/>
    </row>
    <row r="252">
      <c r="A252" s="17" t="n"/>
      <c r="B252" s="12" t="n"/>
      <c r="C252" s="12" t="n"/>
      <c r="D252" s="12" t="n"/>
      <c r="E252" s="18" t="n"/>
      <c r="F252" s="12" t="n"/>
    </row>
    <row r="253">
      <c r="A253" s="14" t="n"/>
      <c r="B253" s="15" t="n"/>
      <c r="C253" s="15" t="n"/>
      <c r="D253" s="15" t="n"/>
      <c r="E253" s="16" t="n"/>
      <c r="F253" s="15" t="n"/>
    </row>
    <row r="254">
      <c r="A254" s="17" t="n"/>
      <c r="B254" s="12" t="n"/>
      <c r="C254" s="12" t="n"/>
      <c r="D254" s="12" t="n"/>
      <c r="E254" s="18" t="n"/>
      <c r="F254" s="12" t="n"/>
    </row>
  </sheetData>
  <mergeCells count="2">
    <mergeCell ref="A2:H2"/>
    <mergeCell ref="A1:H1"/>
  </mergeCells>
  <dataValidations count="2">
    <dataValidation sqref="C5:C254" showDropDown="0" showInputMessage="0" showErrorMessage="0" allowBlank="1" type="list">
      <formula1>=Settings!$B$14:$B$25</formula1>
    </dataValidation>
    <dataValidation sqref="F5:F25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11" customWidth="1" min="4" max="4"/>
    <col width="12" customWidth="1" min="5" max="5"/>
    <col width="14" customWidth="1" min="6" max="6"/>
    <col width="12" customWidth="1" min="7" max="7"/>
    <col width="14" customWidth="1" min="8" max="8"/>
  </cols>
  <sheetData>
    <row r="1" ht="34" customHeight="1">
      <c r="A1" s="1" t="inlineStr">
        <is>
          <t>📁  Project Tracker</t>
        </is>
      </c>
    </row>
    <row r="2" ht="18" customHeight="1">
      <c r="A2" s="2" t="inlineStr">
        <is>
          <t>Pipeline + delivery at a glance. Value = Quoted rate × Est. hours.</t>
        </is>
      </c>
    </row>
    <row r="4" ht="26" customHeight="1">
      <c r="A4" s="13" t="inlineStr">
        <is>
          <t>Project</t>
        </is>
      </c>
      <c r="B4" s="13" t="inlineStr">
        <is>
          <t>Client</t>
        </is>
      </c>
      <c r="C4" s="13" t="inlineStr">
        <is>
          <t>Status</t>
        </is>
      </c>
      <c r="D4" s="13" t="inlineStr">
        <is>
          <t>Est. hours</t>
        </is>
      </c>
      <c r="E4" s="13" t="inlineStr">
        <is>
          <t>Hourly rate</t>
        </is>
      </c>
      <c r="F4" s="13" t="inlineStr">
        <is>
          <t>Quoted value</t>
        </is>
      </c>
      <c r="G4" s="13" t="inlineStr">
        <is>
          <t>Actual hours</t>
        </is>
      </c>
      <c r="H4" s="13" t="inlineStr">
        <is>
          <t>Effective rate</t>
        </is>
      </c>
    </row>
    <row r="5">
      <c r="A5" s="15" t="n"/>
      <c r="B5" s="15" t="n"/>
      <c r="C5" s="15" t="n"/>
      <c r="D5" s="15" t="n"/>
      <c r="E5" s="16" t="n"/>
      <c r="F5" s="16">
        <f>IF(AND($D5&lt;&gt;"",$E5&lt;&gt;""),$D5*$E5,"")</f>
        <v/>
      </c>
      <c r="G5" s="15" t="n"/>
      <c r="H5" s="16">
        <f>IF(AND($F5&lt;&gt;"",$G5&gt;0),$F5/$G5,"")</f>
        <v/>
      </c>
    </row>
    <row r="6">
      <c r="A6" s="12" t="n"/>
      <c r="B6" s="12" t="n"/>
      <c r="C6" s="12" t="n"/>
      <c r="D6" s="12" t="n"/>
      <c r="E6" s="18" t="n"/>
      <c r="F6" s="18">
        <f>IF(AND($D6&lt;&gt;"",$E6&lt;&gt;""),$D6*$E6,"")</f>
        <v/>
      </c>
      <c r="G6" s="12" t="n"/>
      <c r="H6" s="18">
        <f>IF(AND($F6&lt;&gt;"",$G6&gt;0),$F6/$G6,"")</f>
        <v/>
      </c>
    </row>
    <row r="7">
      <c r="A7" s="15" t="n"/>
      <c r="B7" s="15" t="n"/>
      <c r="C7" s="15" t="n"/>
      <c r="D7" s="15" t="n"/>
      <c r="E7" s="16" t="n"/>
      <c r="F7" s="16">
        <f>IF(AND($D7&lt;&gt;"",$E7&lt;&gt;""),$D7*$E7,"")</f>
        <v/>
      </c>
      <c r="G7" s="15" t="n"/>
      <c r="H7" s="16">
        <f>IF(AND($F7&lt;&gt;"",$G7&gt;0),$F7/$G7,"")</f>
        <v/>
      </c>
    </row>
    <row r="8">
      <c r="A8" s="12" t="n"/>
      <c r="B8" s="12" t="n"/>
      <c r="C8" s="12" t="n"/>
      <c r="D8" s="12" t="n"/>
      <c r="E8" s="18" t="n"/>
      <c r="F8" s="18">
        <f>IF(AND($D8&lt;&gt;"",$E8&lt;&gt;""),$D8*$E8,"")</f>
        <v/>
      </c>
      <c r="G8" s="12" t="n"/>
      <c r="H8" s="18">
        <f>IF(AND($F8&lt;&gt;"",$G8&gt;0),$F8/$G8,"")</f>
        <v/>
      </c>
    </row>
    <row r="9">
      <c r="A9" s="15" t="n"/>
      <c r="B9" s="15" t="n"/>
      <c r="C9" s="15" t="n"/>
      <c r="D9" s="15" t="n"/>
      <c r="E9" s="16" t="n"/>
      <c r="F9" s="16">
        <f>IF(AND($D9&lt;&gt;"",$E9&lt;&gt;""),$D9*$E9,"")</f>
        <v/>
      </c>
      <c r="G9" s="15" t="n"/>
      <c r="H9" s="16">
        <f>IF(AND($F9&lt;&gt;"",$G9&gt;0),$F9/$G9,"")</f>
        <v/>
      </c>
    </row>
    <row r="10">
      <c r="A10" s="12" t="n"/>
      <c r="B10" s="12" t="n"/>
      <c r="C10" s="12" t="n"/>
      <c r="D10" s="12" t="n"/>
      <c r="E10" s="18" t="n"/>
      <c r="F10" s="18">
        <f>IF(AND($D10&lt;&gt;"",$E10&lt;&gt;""),$D10*$E10,"")</f>
        <v/>
      </c>
      <c r="G10" s="12" t="n"/>
      <c r="H10" s="18">
        <f>IF(AND($F10&lt;&gt;"",$G10&gt;0),$F10/$G10,"")</f>
        <v/>
      </c>
    </row>
    <row r="11">
      <c r="A11" s="15" t="n"/>
      <c r="B11" s="15" t="n"/>
      <c r="C11" s="15" t="n"/>
      <c r="D11" s="15" t="n"/>
      <c r="E11" s="16" t="n"/>
      <c r="F11" s="16">
        <f>IF(AND($D11&lt;&gt;"",$E11&lt;&gt;""),$D11*$E11,"")</f>
        <v/>
      </c>
      <c r="G11" s="15" t="n"/>
      <c r="H11" s="16">
        <f>IF(AND($F11&lt;&gt;"",$G11&gt;0),$F11/$G11,"")</f>
        <v/>
      </c>
    </row>
    <row r="12">
      <c r="A12" s="12" t="n"/>
      <c r="B12" s="12" t="n"/>
      <c r="C12" s="12" t="n"/>
      <c r="D12" s="12" t="n"/>
      <c r="E12" s="18" t="n"/>
      <c r="F12" s="18">
        <f>IF(AND($D12&lt;&gt;"",$E12&lt;&gt;""),$D12*$E12,"")</f>
        <v/>
      </c>
      <c r="G12" s="12" t="n"/>
      <c r="H12" s="18">
        <f>IF(AND($F12&lt;&gt;"",$G12&gt;0),$F12/$G12,"")</f>
        <v/>
      </c>
    </row>
    <row r="13">
      <c r="A13" s="15" t="n"/>
      <c r="B13" s="15" t="n"/>
      <c r="C13" s="15" t="n"/>
      <c r="D13" s="15" t="n"/>
      <c r="E13" s="16" t="n"/>
      <c r="F13" s="16">
        <f>IF(AND($D13&lt;&gt;"",$E13&lt;&gt;""),$D13*$E13,"")</f>
        <v/>
      </c>
      <c r="G13" s="15" t="n"/>
      <c r="H13" s="16">
        <f>IF(AND($F13&lt;&gt;"",$G13&gt;0),$F13/$G13,"")</f>
        <v/>
      </c>
    </row>
    <row r="14">
      <c r="A14" s="12" t="n"/>
      <c r="B14" s="12" t="n"/>
      <c r="C14" s="12" t="n"/>
      <c r="D14" s="12" t="n"/>
      <c r="E14" s="18" t="n"/>
      <c r="F14" s="18">
        <f>IF(AND($D14&lt;&gt;"",$E14&lt;&gt;""),$D14*$E14,"")</f>
        <v/>
      </c>
      <c r="G14" s="12" t="n"/>
      <c r="H14" s="18">
        <f>IF(AND($F14&lt;&gt;"",$G14&gt;0),$F14/$G14,"")</f>
        <v/>
      </c>
    </row>
    <row r="15">
      <c r="A15" s="15" t="n"/>
      <c r="B15" s="15" t="n"/>
      <c r="C15" s="15" t="n"/>
      <c r="D15" s="15" t="n"/>
      <c r="E15" s="16" t="n"/>
      <c r="F15" s="16">
        <f>IF(AND($D15&lt;&gt;"",$E15&lt;&gt;""),$D15*$E15,"")</f>
        <v/>
      </c>
      <c r="G15" s="15" t="n"/>
      <c r="H15" s="16">
        <f>IF(AND($F15&lt;&gt;"",$G15&gt;0),$F15/$G15,"")</f>
        <v/>
      </c>
    </row>
    <row r="16">
      <c r="A16" s="12" t="n"/>
      <c r="B16" s="12" t="n"/>
      <c r="C16" s="12" t="n"/>
      <c r="D16" s="12" t="n"/>
      <c r="E16" s="18" t="n"/>
      <c r="F16" s="18">
        <f>IF(AND($D16&lt;&gt;"",$E16&lt;&gt;""),$D16*$E16,"")</f>
        <v/>
      </c>
      <c r="G16" s="12" t="n"/>
      <c r="H16" s="18">
        <f>IF(AND($F16&lt;&gt;"",$G16&gt;0),$F16/$G16,"")</f>
        <v/>
      </c>
    </row>
    <row r="17">
      <c r="A17" s="15" t="n"/>
      <c r="B17" s="15" t="n"/>
      <c r="C17" s="15" t="n"/>
      <c r="D17" s="15" t="n"/>
      <c r="E17" s="16" t="n"/>
      <c r="F17" s="16">
        <f>IF(AND($D17&lt;&gt;"",$E17&lt;&gt;""),$D17*$E17,"")</f>
        <v/>
      </c>
      <c r="G17" s="15" t="n"/>
      <c r="H17" s="16">
        <f>IF(AND($F17&lt;&gt;"",$G17&gt;0),$F17/$G17,"")</f>
        <v/>
      </c>
    </row>
    <row r="18">
      <c r="A18" s="12" t="n"/>
      <c r="B18" s="12" t="n"/>
      <c r="C18" s="12" t="n"/>
      <c r="D18" s="12" t="n"/>
      <c r="E18" s="18" t="n"/>
      <c r="F18" s="18">
        <f>IF(AND($D18&lt;&gt;"",$E18&lt;&gt;""),$D18*$E18,"")</f>
        <v/>
      </c>
      <c r="G18" s="12" t="n"/>
      <c r="H18" s="18">
        <f>IF(AND($F18&lt;&gt;"",$G18&gt;0),$F18/$G18,"")</f>
        <v/>
      </c>
    </row>
    <row r="19">
      <c r="A19" s="15" t="n"/>
      <c r="B19" s="15" t="n"/>
      <c r="C19" s="15" t="n"/>
      <c r="D19" s="15" t="n"/>
      <c r="E19" s="16" t="n"/>
      <c r="F19" s="16">
        <f>IF(AND($D19&lt;&gt;"",$E19&lt;&gt;""),$D19*$E19,"")</f>
        <v/>
      </c>
      <c r="G19" s="15" t="n"/>
      <c r="H19" s="16">
        <f>IF(AND($F19&lt;&gt;"",$G19&gt;0),$F19/$G19,"")</f>
        <v/>
      </c>
    </row>
    <row r="20">
      <c r="A20" s="12" t="n"/>
      <c r="B20" s="12" t="n"/>
      <c r="C20" s="12" t="n"/>
      <c r="D20" s="12" t="n"/>
      <c r="E20" s="18" t="n"/>
      <c r="F20" s="18">
        <f>IF(AND($D20&lt;&gt;"",$E20&lt;&gt;""),$D20*$E20,"")</f>
        <v/>
      </c>
      <c r="G20" s="12" t="n"/>
      <c r="H20" s="18">
        <f>IF(AND($F20&lt;&gt;"",$G20&gt;0),$F20/$G20,"")</f>
        <v/>
      </c>
    </row>
    <row r="21">
      <c r="A21" s="15" t="n"/>
      <c r="B21" s="15" t="n"/>
      <c r="C21" s="15" t="n"/>
      <c r="D21" s="15" t="n"/>
      <c r="E21" s="16" t="n"/>
      <c r="F21" s="16">
        <f>IF(AND($D21&lt;&gt;"",$E21&lt;&gt;""),$D21*$E21,"")</f>
        <v/>
      </c>
      <c r="G21" s="15" t="n"/>
      <c r="H21" s="16">
        <f>IF(AND($F21&lt;&gt;"",$G21&gt;0),$F21/$G21,"")</f>
        <v/>
      </c>
    </row>
    <row r="22">
      <c r="A22" s="12" t="n"/>
      <c r="B22" s="12" t="n"/>
      <c r="C22" s="12" t="n"/>
      <c r="D22" s="12" t="n"/>
      <c r="E22" s="18" t="n"/>
      <c r="F22" s="18">
        <f>IF(AND($D22&lt;&gt;"",$E22&lt;&gt;""),$D22*$E22,"")</f>
        <v/>
      </c>
      <c r="G22" s="12" t="n"/>
      <c r="H22" s="18">
        <f>IF(AND($F22&lt;&gt;"",$G22&gt;0),$F22/$G22,"")</f>
        <v/>
      </c>
    </row>
    <row r="23">
      <c r="A23" s="15" t="n"/>
      <c r="B23" s="15" t="n"/>
      <c r="C23" s="15" t="n"/>
      <c r="D23" s="15" t="n"/>
      <c r="E23" s="16" t="n"/>
      <c r="F23" s="16">
        <f>IF(AND($D23&lt;&gt;"",$E23&lt;&gt;""),$D23*$E23,"")</f>
        <v/>
      </c>
      <c r="G23" s="15" t="n"/>
      <c r="H23" s="16">
        <f>IF(AND($F23&lt;&gt;"",$G23&gt;0),$F23/$G23,"")</f>
        <v/>
      </c>
    </row>
    <row r="24">
      <c r="A24" s="12" t="n"/>
      <c r="B24" s="12" t="n"/>
      <c r="C24" s="12" t="n"/>
      <c r="D24" s="12" t="n"/>
      <c r="E24" s="18" t="n"/>
      <c r="F24" s="18">
        <f>IF(AND($D24&lt;&gt;"",$E24&lt;&gt;""),$D24*$E24,"")</f>
        <v/>
      </c>
      <c r="G24" s="12" t="n"/>
      <c r="H24" s="18">
        <f>IF(AND($F24&lt;&gt;"",$G24&gt;0),$F24/$G24,"")</f>
        <v/>
      </c>
    </row>
    <row r="25">
      <c r="A25" s="15" t="n"/>
      <c r="B25" s="15" t="n"/>
      <c r="C25" s="15" t="n"/>
      <c r="D25" s="15" t="n"/>
      <c r="E25" s="16" t="n"/>
      <c r="F25" s="16">
        <f>IF(AND($D25&lt;&gt;"",$E25&lt;&gt;""),$D25*$E25,"")</f>
        <v/>
      </c>
      <c r="G25" s="15" t="n"/>
      <c r="H25" s="16">
        <f>IF(AND($F25&lt;&gt;"",$G25&gt;0),$F25/$G25,"")</f>
        <v/>
      </c>
    </row>
    <row r="26">
      <c r="A26" s="12" t="n"/>
      <c r="B26" s="12" t="n"/>
      <c r="C26" s="12" t="n"/>
      <c r="D26" s="12" t="n"/>
      <c r="E26" s="18" t="n"/>
      <c r="F26" s="18">
        <f>IF(AND($D26&lt;&gt;"",$E26&lt;&gt;""),$D26*$E26,"")</f>
        <v/>
      </c>
      <c r="G26" s="12" t="n"/>
      <c r="H26" s="18">
        <f>IF(AND($F26&lt;&gt;"",$G26&gt;0),$F26/$G26,"")</f>
        <v/>
      </c>
    </row>
    <row r="27">
      <c r="A27" s="15" t="n"/>
      <c r="B27" s="15" t="n"/>
      <c r="C27" s="15" t="n"/>
      <c r="D27" s="15" t="n"/>
      <c r="E27" s="16" t="n"/>
      <c r="F27" s="16">
        <f>IF(AND($D27&lt;&gt;"",$E27&lt;&gt;""),$D27*$E27,"")</f>
        <v/>
      </c>
      <c r="G27" s="15" t="n"/>
      <c r="H27" s="16">
        <f>IF(AND($F27&lt;&gt;"",$G27&gt;0),$F27/$G27,"")</f>
        <v/>
      </c>
    </row>
    <row r="28">
      <c r="A28" s="12" t="n"/>
      <c r="B28" s="12" t="n"/>
      <c r="C28" s="12" t="n"/>
      <c r="D28" s="12" t="n"/>
      <c r="E28" s="18" t="n"/>
      <c r="F28" s="18">
        <f>IF(AND($D28&lt;&gt;"",$E28&lt;&gt;""),$D28*$E28,"")</f>
        <v/>
      </c>
      <c r="G28" s="12" t="n"/>
      <c r="H28" s="18">
        <f>IF(AND($F28&lt;&gt;"",$G28&gt;0),$F28/$G28,"")</f>
        <v/>
      </c>
    </row>
    <row r="29">
      <c r="A29" s="15" t="n"/>
      <c r="B29" s="15" t="n"/>
      <c r="C29" s="15" t="n"/>
      <c r="D29" s="15" t="n"/>
      <c r="E29" s="16" t="n"/>
      <c r="F29" s="16">
        <f>IF(AND($D29&lt;&gt;"",$E29&lt;&gt;""),$D29*$E29,"")</f>
        <v/>
      </c>
      <c r="G29" s="15" t="n"/>
      <c r="H29" s="16">
        <f>IF(AND($F29&lt;&gt;"",$G29&gt;0),$F29/$G29,"")</f>
        <v/>
      </c>
    </row>
    <row r="30">
      <c r="A30" s="12" t="n"/>
      <c r="B30" s="12" t="n"/>
      <c r="C30" s="12" t="n"/>
      <c r="D30" s="12" t="n"/>
      <c r="E30" s="18" t="n"/>
      <c r="F30" s="18">
        <f>IF(AND($D30&lt;&gt;"",$E30&lt;&gt;""),$D30*$E30,"")</f>
        <v/>
      </c>
      <c r="G30" s="12" t="n"/>
      <c r="H30" s="18">
        <f>IF(AND($F30&lt;&gt;"",$G30&gt;0),$F30/$G30,"")</f>
        <v/>
      </c>
    </row>
    <row r="31">
      <c r="A31" s="15" t="n"/>
      <c r="B31" s="15" t="n"/>
      <c r="C31" s="15" t="n"/>
      <c r="D31" s="15" t="n"/>
      <c r="E31" s="16" t="n"/>
      <c r="F31" s="16">
        <f>IF(AND($D31&lt;&gt;"",$E31&lt;&gt;""),$D31*$E31,"")</f>
        <v/>
      </c>
      <c r="G31" s="15" t="n"/>
      <c r="H31" s="16">
        <f>IF(AND($F31&lt;&gt;"",$G31&gt;0),$F31/$G31,"")</f>
        <v/>
      </c>
    </row>
    <row r="32">
      <c r="A32" s="12" t="n"/>
      <c r="B32" s="12" t="n"/>
      <c r="C32" s="12" t="n"/>
      <c r="D32" s="12" t="n"/>
      <c r="E32" s="18" t="n"/>
      <c r="F32" s="18">
        <f>IF(AND($D32&lt;&gt;"",$E32&lt;&gt;""),$D32*$E32,"")</f>
        <v/>
      </c>
      <c r="G32" s="12" t="n"/>
      <c r="H32" s="18">
        <f>IF(AND($F32&lt;&gt;"",$G32&gt;0),$F32/$G32,"")</f>
        <v/>
      </c>
    </row>
    <row r="33">
      <c r="A33" s="15" t="n"/>
      <c r="B33" s="15" t="n"/>
      <c r="C33" s="15" t="n"/>
      <c r="D33" s="15" t="n"/>
      <c r="E33" s="16" t="n"/>
      <c r="F33" s="16">
        <f>IF(AND($D33&lt;&gt;"",$E33&lt;&gt;""),$D33*$E33,"")</f>
        <v/>
      </c>
      <c r="G33" s="15" t="n"/>
      <c r="H33" s="16">
        <f>IF(AND($F33&lt;&gt;"",$G33&gt;0),$F33/$G33,"")</f>
        <v/>
      </c>
    </row>
    <row r="34">
      <c r="A34" s="12" t="n"/>
      <c r="B34" s="12" t="n"/>
      <c r="C34" s="12" t="n"/>
      <c r="D34" s="12" t="n"/>
      <c r="E34" s="18" t="n"/>
      <c r="F34" s="18">
        <f>IF(AND($D34&lt;&gt;"",$E34&lt;&gt;""),$D34*$E34,"")</f>
        <v/>
      </c>
      <c r="G34" s="12" t="n"/>
      <c r="H34" s="18">
        <f>IF(AND($F34&lt;&gt;"",$G34&gt;0),$F34/$G34,"")</f>
        <v/>
      </c>
    </row>
    <row r="35">
      <c r="A35" s="15" t="n"/>
      <c r="B35" s="15" t="n"/>
      <c r="C35" s="15" t="n"/>
      <c r="D35" s="15" t="n"/>
      <c r="E35" s="16" t="n"/>
      <c r="F35" s="16">
        <f>IF(AND($D35&lt;&gt;"",$E35&lt;&gt;""),$D35*$E35,"")</f>
        <v/>
      </c>
      <c r="G35" s="15" t="n"/>
      <c r="H35" s="16">
        <f>IF(AND($F35&lt;&gt;"",$G35&gt;0),$F35/$G35,"")</f>
        <v/>
      </c>
    </row>
    <row r="36">
      <c r="A36" s="12" t="n"/>
      <c r="B36" s="12" t="n"/>
      <c r="C36" s="12" t="n"/>
      <c r="D36" s="12" t="n"/>
      <c r="E36" s="18" t="n"/>
      <c r="F36" s="18">
        <f>IF(AND($D36&lt;&gt;"",$E36&lt;&gt;""),$D36*$E36,"")</f>
        <v/>
      </c>
      <c r="G36" s="12" t="n"/>
      <c r="H36" s="18">
        <f>IF(AND($F36&lt;&gt;"",$G36&gt;0),$F36/$G36,"")</f>
        <v/>
      </c>
    </row>
    <row r="37">
      <c r="A37" s="15" t="n"/>
      <c r="B37" s="15" t="n"/>
      <c r="C37" s="15" t="n"/>
      <c r="D37" s="15" t="n"/>
      <c r="E37" s="16" t="n"/>
      <c r="F37" s="16">
        <f>IF(AND($D37&lt;&gt;"",$E37&lt;&gt;""),$D37*$E37,"")</f>
        <v/>
      </c>
      <c r="G37" s="15" t="n"/>
      <c r="H37" s="16">
        <f>IF(AND($F37&lt;&gt;"",$G37&gt;0),$F37/$G37,"")</f>
        <v/>
      </c>
    </row>
    <row r="38">
      <c r="A38" s="12" t="n"/>
      <c r="B38" s="12" t="n"/>
      <c r="C38" s="12" t="n"/>
      <c r="D38" s="12" t="n"/>
      <c r="E38" s="18" t="n"/>
      <c r="F38" s="18">
        <f>IF(AND($D38&lt;&gt;"",$E38&lt;&gt;""),$D38*$E38,"")</f>
        <v/>
      </c>
      <c r="G38" s="12" t="n"/>
      <c r="H38" s="18">
        <f>IF(AND($F38&lt;&gt;"",$G38&gt;0),$F38/$G38,"")</f>
        <v/>
      </c>
    </row>
    <row r="39">
      <c r="A39" s="15" t="n"/>
      <c r="B39" s="15" t="n"/>
      <c r="C39" s="15" t="n"/>
      <c r="D39" s="15" t="n"/>
      <c r="E39" s="16" t="n"/>
      <c r="F39" s="16">
        <f>IF(AND($D39&lt;&gt;"",$E39&lt;&gt;""),$D39*$E39,"")</f>
        <v/>
      </c>
      <c r="G39" s="15" t="n"/>
      <c r="H39" s="16">
        <f>IF(AND($F39&lt;&gt;"",$G39&gt;0),$F39/$G39,"")</f>
        <v/>
      </c>
    </row>
    <row r="40">
      <c r="A40" s="12" t="n"/>
      <c r="B40" s="12" t="n"/>
      <c r="C40" s="12" t="n"/>
      <c r="D40" s="12" t="n"/>
      <c r="E40" s="18" t="n"/>
      <c r="F40" s="18">
        <f>IF(AND($D40&lt;&gt;"",$E40&lt;&gt;""),$D40*$E40,"")</f>
        <v/>
      </c>
      <c r="G40" s="12" t="n"/>
      <c r="H40" s="18">
        <f>IF(AND($F40&lt;&gt;"",$G40&gt;0),$F40/$G40,"")</f>
        <v/>
      </c>
    </row>
    <row r="41">
      <c r="A41" s="15" t="n"/>
      <c r="B41" s="15" t="n"/>
      <c r="C41" s="15" t="n"/>
      <c r="D41" s="15" t="n"/>
      <c r="E41" s="16" t="n"/>
      <c r="F41" s="16">
        <f>IF(AND($D41&lt;&gt;"",$E41&lt;&gt;""),$D41*$E41,"")</f>
        <v/>
      </c>
      <c r="G41" s="15" t="n"/>
      <c r="H41" s="16">
        <f>IF(AND($F41&lt;&gt;"",$G41&gt;0),$F41/$G41,"")</f>
        <v/>
      </c>
    </row>
    <row r="42">
      <c r="A42" s="12" t="n"/>
      <c r="B42" s="12" t="n"/>
      <c r="C42" s="12" t="n"/>
      <c r="D42" s="12" t="n"/>
      <c r="E42" s="18" t="n"/>
      <c r="F42" s="18">
        <f>IF(AND($D42&lt;&gt;"",$E42&lt;&gt;""),$D42*$E42,"")</f>
        <v/>
      </c>
      <c r="G42" s="12" t="n"/>
      <c r="H42" s="18">
        <f>IF(AND($F42&lt;&gt;"",$G42&gt;0),$F42/$G42,"")</f>
        <v/>
      </c>
    </row>
    <row r="43">
      <c r="A43" s="15" t="n"/>
      <c r="B43" s="15" t="n"/>
      <c r="C43" s="15" t="n"/>
      <c r="D43" s="15" t="n"/>
      <c r="E43" s="16" t="n"/>
      <c r="F43" s="16">
        <f>IF(AND($D43&lt;&gt;"",$E43&lt;&gt;""),$D43*$E43,"")</f>
        <v/>
      </c>
      <c r="G43" s="15" t="n"/>
      <c r="H43" s="16">
        <f>IF(AND($F43&lt;&gt;"",$G43&gt;0),$F43/$G43,"")</f>
        <v/>
      </c>
    </row>
    <row r="44">
      <c r="A44" s="12" t="n"/>
      <c r="B44" s="12" t="n"/>
      <c r="C44" s="12" t="n"/>
      <c r="D44" s="12" t="n"/>
      <c r="E44" s="18" t="n"/>
      <c r="F44" s="18">
        <f>IF(AND($D44&lt;&gt;"",$E44&lt;&gt;""),$D44*$E44,"")</f>
        <v/>
      </c>
      <c r="G44" s="12" t="n"/>
      <c r="H44" s="18">
        <f>IF(AND($F44&lt;&gt;"",$G44&gt;0),$F44/$G44,"")</f>
        <v/>
      </c>
    </row>
    <row r="45">
      <c r="A45" s="15" t="n"/>
      <c r="B45" s="15" t="n"/>
      <c r="C45" s="15" t="n"/>
      <c r="D45" s="15" t="n"/>
      <c r="E45" s="16" t="n"/>
      <c r="F45" s="16">
        <f>IF(AND($D45&lt;&gt;"",$E45&lt;&gt;""),$D45*$E45,"")</f>
        <v/>
      </c>
      <c r="G45" s="15" t="n"/>
      <c r="H45" s="16">
        <f>IF(AND($F45&lt;&gt;"",$G45&gt;0),$F45/$G45,"")</f>
        <v/>
      </c>
    </row>
    <row r="46">
      <c r="A46" s="12" t="n"/>
      <c r="B46" s="12" t="n"/>
      <c r="C46" s="12" t="n"/>
      <c r="D46" s="12" t="n"/>
      <c r="E46" s="18" t="n"/>
      <c r="F46" s="18">
        <f>IF(AND($D46&lt;&gt;"",$E46&lt;&gt;""),$D46*$E46,"")</f>
        <v/>
      </c>
      <c r="G46" s="12" t="n"/>
      <c r="H46" s="18">
        <f>IF(AND($F46&lt;&gt;"",$G46&gt;0),$F46/$G46,"")</f>
        <v/>
      </c>
    </row>
    <row r="47">
      <c r="A47" s="15" t="n"/>
      <c r="B47" s="15" t="n"/>
      <c r="C47" s="15" t="n"/>
      <c r="D47" s="15" t="n"/>
      <c r="E47" s="16" t="n"/>
      <c r="F47" s="16">
        <f>IF(AND($D47&lt;&gt;"",$E47&lt;&gt;""),$D47*$E47,"")</f>
        <v/>
      </c>
      <c r="G47" s="15" t="n"/>
      <c r="H47" s="16">
        <f>IF(AND($F47&lt;&gt;"",$G47&gt;0),$F47/$G47,"")</f>
        <v/>
      </c>
    </row>
    <row r="48">
      <c r="A48" s="12" t="n"/>
      <c r="B48" s="12" t="n"/>
      <c r="C48" s="12" t="n"/>
      <c r="D48" s="12" t="n"/>
      <c r="E48" s="18" t="n"/>
      <c r="F48" s="18">
        <f>IF(AND($D48&lt;&gt;"",$E48&lt;&gt;""),$D48*$E48,"")</f>
        <v/>
      </c>
      <c r="G48" s="12" t="n"/>
      <c r="H48" s="18">
        <f>IF(AND($F48&lt;&gt;"",$G48&gt;0),$F48/$G48,"")</f>
        <v/>
      </c>
    </row>
    <row r="49">
      <c r="A49" s="15" t="n"/>
      <c r="B49" s="15" t="n"/>
      <c r="C49" s="15" t="n"/>
      <c r="D49" s="15" t="n"/>
      <c r="E49" s="16" t="n"/>
      <c r="F49" s="16">
        <f>IF(AND($D49&lt;&gt;"",$E49&lt;&gt;""),$D49*$E49,"")</f>
        <v/>
      </c>
      <c r="G49" s="15" t="n"/>
      <c r="H49" s="16">
        <f>IF(AND($F49&lt;&gt;"",$G49&gt;0),$F49/$G49,"")</f>
        <v/>
      </c>
    </row>
    <row r="50">
      <c r="A50" s="12" t="n"/>
      <c r="B50" s="12" t="n"/>
      <c r="C50" s="12" t="n"/>
      <c r="D50" s="12" t="n"/>
      <c r="E50" s="18" t="n"/>
      <c r="F50" s="18">
        <f>IF(AND($D50&lt;&gt;"",$E50&lt;&gt;""),$D50*$E50,"")</f>
        <v/>
      </c>
      <c r="G50" s="12" t="n"/>
      <c r="H50" s="18">
        <f>IF(AND($F50&lt;&gt;"",$G50&gt;0),$F50/$G50,"")</f>
        <v/>
      </c>
    </row>
    <row r="51">
      <c r="A51" s="15" t="n"/>
      <c r="B51" s="15" t="n"/>
      <c r="C51" s="15" t="n"/>
      <c r="D51" s="15" t="n"/>
      <c r="E51" s="16" t="n"/>
      <c r="F51" s="16">
        <f>IF(AND($D51&lt;&gt;"",$E51&lt;&gt;""),$D51*$E51,"")</f>
        <v/>
      </c>
      <c r="G51" s="15" t="n"/>
      <c r="H51" s="16">
        <f>IF(AND($F51&lt;&gt;"",$G51&gt;0),$F51/$G51,"")</f>
        <v/>
      </c>
    </row>
    <row r="52">
      <c r="A52" s="12" t="n"/>
      <c r="B52" s="12" t="n"/>
      <c r="C52" s="12" t="n"/>
      <c r="D52" s="12" t="n"/>
      <c r="E52" s="18" t="n"/>
      <c r="F52" s="18">
        <f>IF(AND($D52&lt;&gt;"",$E52&lt;&gt;""),$D52*$E52,"")</f>
        <v/>
      </c>
      <c r="G52" s="12" t="n"/>
      <c r="H52" s="18">
        <f>IF(AND($F52&lt;&gt;"",$G52&gt;0),$F52/$G52,"")</f>
        <v/>
      </c>
    </row>
    <row r="53">
      <c r="A53" s="15" t="n"/>
      <c r="B53" s="15" t="n"/>
      <c r="C53" s="15" t="n"/>
      <c r="D53" s="15" t="n"/>
      <c r="E53" s="16" t="n"/>
      <c r="F53" s="16">
        <f>IF(AND($D53&lt;&gt;"",$E53&lt;&gt;""),$D53*$E53,"")</f>
        <v/>
      </c>
      <c r="G53" s="15" t="n"/>
      <c r="H53" s="16">
        <f>IF(AND($F53&lt;&gt;"",$G53&gt;0),$F53/$G53,"")</f>
        <v/>
      </c>
    </row>
    <row r="54">
      <c r="A54" s="12" t="n"/>
      <c r="B54" s="12" t="n"/>
      <c r="C54" s="12" t="n"/>
      <c r="D54" s="12" t="n"/>
      <c r="E54" s="18" t="n"/>
      <c r="F54" s="18">
        <f>IF(AND($D54&lt;&gt;"",$E54&lt;&gt;""),$D54*$E54,"")</f>
        <v/>
      </c>
      <c r="G54" s="12" t="n"/>
      <c r="H54" s="18">
        <f>IF(AND($F54&lt;&gt;"",$G54&gt;0),$F54/$G54,"")</f>
        <v/>
      </c>
    </row>
    <row r="55">
      <c r="A55" s="15" t="n"/>
      <c r="B55" s="15" t="n"/>
      <c r="C55" s="15" t="n"/>
      <c r="D55" s="15" t="n"/>
      <c r="E55" s="16" t="n"/>
      <c r="F55" s="16">
        <f>IF(AND($D55&lt;&gt;"",$E55&lt;&gt;""),$D55*$E55,"")</f>
        <v/>
      </c>
      <c r="G55" s="15" t="n"/>
      <c r="H55" s="16">
        <f>IF(AND($F55&lt;&gt;"",$G55&gt;0),$F55/$G55,"")</f>
        <v/>
      </c>
    </row>
    <row r="56">
      <c r="A56" s="12" t="n"/>
      <c r="B56" s="12" t="n"/>
      <c r="C56" s="12" t="n"/>
      <c r="D56" s="12" t="n"/>
      <c r="E56" s="18" t="n"/>
      <c r="F56" s="18">
        <f>IF(AND($D56&lt;&gt;"",$E56&lt;&gt;""),$D56*$E56,"")</f>
        <v/>
      </c>
      <c r="G56" s="12" t="n"/>
      <c r="H56" s="18">
        <f>IF(AND($F56&lt;&gt;"",$G56&gt;0),$F56/$G56,"")</f>
        <v/>
      </c>
    </row>
    <row r="57">
      <c r="A57" s="15" t="n"/>
      <c r="B57" s="15" t="n"/>
      <c r="C57" s="15" t="n"/>
      <c r="D57" s="15" t="n"/>
      <c r="E57" s="16" t="n"/>
      <c r="F57" s="16">
        <f>IF(AND($D57&lt;&gt;"",$E57&lt;&gt;""),$D57*$E57,"")</f>
        <v/>
      </c>
      <c r="G57" s="15" t="n"/>
      <c r="H57" s="16">
        <f>IF(AND($F57&lt;&gt;"",$G57&gt;0),$F57/$G57,"")</f>
        <v/>
      </c>
    </row>
    <row r="58">
      <c r="A58" s="12" t="n"/>
      <c r="B58" s="12" t="n"/>
      <c r="C58" s="12" t="n"/>
      <c r="D58" s="12" t="n"/>
      <c r="E58" s="18" t="n"/>
      <c r="F58" s="18">
        <f>IF(AND($D58&lt;&gt;"",$E58&lt;&gt;""),$D58*$E58,"")</f>
        <v/>
      </c>
      <c r="G58" s="12" t="n"/>
      <c r="H58" s="18">
        <f>IF(AND($F58&lt;&gt;"",$G58&gt;0),$F58/$G58,"")</f>
        <v/>
      </c>
    </row>
    <row r="59">
      <c r="A59" s="15" t="n"/>
      <c r="B59" s="15" t="n"/>
      <c r="C59" s="15" t="n"/>
      <c r="D59" s="15" t="n"/>
      <c r="E59" s="16" t="n"/>
      <c r="F59" s="16">
        <f>IF(AND($D59&lt;&gt;"",$E59&lt;&gt;""),$D59*$E59,"")</f>
        <v/>
      </c>
      <c r="G59" s="15" t="n"/>
      <c r="H59" s="16">
        <f>IF(AND($F59&lt;&gt;"",$G59&gt;0),$F59/$G59,"")</f>
        <v/>
      </c>
    </row>
    <row r="60">
      <c r="A60" s="12" t="n"/>
      <c r="B60" s="12" t="n"/>
      <c r="C60" s="12" t="n"/>
      <c r="D60" s="12" t="n"/>
      <c r="E60" s="18" t="n"/>
      <c r="F60" s="18">
        <f>IF(AND($D60&lt;&gt;"",$E60&lt;&gt;""),$D60*$E60,"")</f>
        <v/>
      </c>
      <c r="G60" s="12" t="n"/>
      <c r="H60" s="18">
        <f>IF(AND($F60&lt;&gt;"",$G60&gt;0),$F60/$G60,"")</f>
        <v/>
      </c>
    </row>
    <row r="61">
      <c r="A61" s="15" t="n"/>
      <c r="B61" s="15" t="n"/>
      <c r="C61" s="15" t="n"/>
      <c r="D61" s="15" t="n"/>
      <c r="E61" s="16" t="n"/>
      <c r="F61" s="16">
        <f>IF(AND($D61&lt;&gt;"",$E61&lt;&gt;""),$D61*$E61,"")</f>
        <v/>
      </c>
      <c r="G61" s="15" t="n"/>
      <c r="H61" s="16">
        <f>IF(AND($F61&lt;&gt;"",$G61&gt;0),$F61/$G61,"")</f>
        <v/>
      </c>
    </row>
    <row r="62">
      <c r="A62" s="12" t="n"/>
      <c r="B62" s="12" t="n"/>
      <c r="C62" s="12" t="n"/>
      <c r="D62" s="12" t="n"/>
      <c r="E62" s="18" t="n"/>
      <c r="F62" s="18">
        <f>IF(AND($D62&lt;&gt;"",$E62&lt;&gt;""),$D62*$E62,"")</f>
        <v/>
      </c>
      <c r="G62" s="12" t="n"/>
      <c r="H62" s="18">
        <f>IF(AND($F62&lt;&gt;"",$G62&gt;0),$F62/$G62,"")</f>
        <v/>
      </c>
    </row>
    <row r="63">
      <c r="A63" s="15" t="n"/>
      <c r="B63" s="15" t="n"/>
      <c r="C63" s="15" t="n"/>
      <c r="D63" s="15" t="n"/>
      <c r="E63" s="16" t="n"/>
      <c r="F63" s="16">
        <f>IF(AND($D63&lt;&gt;"",$E63&lt;&gt;""),$D63*$E63,"")</f>
        <v/>
      </c>
      <c r="G63" s="15" t="n"/>
      <c r="H63" s="16">
        <f>IF(AND($F63&lt;&gt;"",$G63&gt;0),$F63/$G63,"")</f>
        <v/>
      </c>
    </row>
    <row r="64">
      <c r="A64" s="12" t="n"/>
      <c r="B64" s="12" t="n"/>
      <c r="C64" s="12" t="n"/>
      <c r="D64" s="12" t="n"/>
      <c r="E64" s="18" t="n"/>
      <c r="F64" s="18">
        <f>IF(AND($D64&lt;&gt;"",$E64&lt;&gt;""),$D64*$E64,"")</f>
        <v/>
      </c>
      <c r="G64" s="12" t="n"/>
      <c r="H64" s="18">
        <f>IF(AND($F64&lt;&gt;"",$G64&gt;0),$F64/$G64,"")</f>
        <v/>
      </c>
    </row>
    <row r="65">
      <c r="A65" s="15" t="n"/>
      <c r="B65" s="15" t="n"/>
      <c r="C65" s="15" t="n"/>
      <c r="D65" s="15" t="n"/>
      <c r="E65" s="16" t="n"/>
      <c r="F65" s="16">
        <f>IF(AND($D65&lt;&gt;"",$E65&lt;&gt;""),$D65*$E65,"")</f>
        <v/>
      </c>
      <c r="G65" s="15" t="n"/>
      <c r="H65" s="16">
        <f>IF(AND($F65&lt;&gt;"",$G65&gt;0),$F65/$G65,"")</f>
        <v/>
      </c>
    </row>
    <row r="66">
      <c r="A66" s="12" t="n"/>
      <c r="B66" s="12" t="n"/>
      <c r="C66" s="12" t="n"/>
      <c r="D66" s="12" t="n"/>
      <c r="E66" s="18" t="n"/>
      <c r="F66" s="18">
        <f>IF(AND($D66&lt;&gt;"",$E66&lt;&gt;""),$D66*$E66,"")</f>
        <v/>
      </c>
      <c r="G66" s="12" t="n"/>
      <c r="H66" s="18">
        <f>IF(AND($F66&lt;&gt;"",$G66&gt;0),$F66/$G66,"")</f>
        <v/>
      </c>
    </row>
    <row r="67">
      <c r="A67" s="15" t="n"/>
      <c r="B67" s="15" t="n"/>
      <c r="C67" s="15" t="n"/>
      <c r="D67" s="15" t="n"/>
      <c r="E67" s="16" t="n"/>
      <c r="F67" s="16">
        <f>IF(AND($D67&lt;&gt;"",$E67&lt;&gt;""),$D67*$E67,"")</f>
        <v/>
      </c>
      <c r="G67" s="15" t="n"/>
      <c r="H67" s="16">
        <f>IF(AND($F67&lt;&gt;"",$G67&gt;0),$F67/$G67,"")</f>
        <v/>
      </c>
    </row>
    <row r="68">
      <c r="A68" s="12" t="n"/>
      <c r="B68" s="12" t="n"/>
      <c r="C68" s="12" t="n"/>
      <c r="D68" s="12" t="n"/>
      <c r="E68" s="18" t="n"/>
      <c r="F68" s="18">
        <f>IF(AND($D68&lt;&gt;"",$E68&lt;&gt;""),$D68*$E68,"")</f>
        <v/>
      </c>
      <c r="G68" s="12" t="n"/>
      <c r="H68" s="18">
        <f>IF(AND($F68&lt;&gt;"",$G68&gt;0),$F68/$G68,"")</f>
        <v/>
      </c>
    </row>
    <row r="69">
      <c r="A69" s="15" t="n"/>
      <c r="B69" s="15" t="n"/>
      <c r="C69" s="15" t="n"/>
      <c r="D69" s="15" t="n"/>
      <c r="E69" s="16" t="n"/>
      <c r="F69" s="16">
        <f>IF(AND($D69&lt;&gt;"",$E69&lt;&gt;""),$D69*$E69,"")</f>
        <v/>
      </c>
      <c r="G69" s="15" t="n"/>
      <c r="H69" s="16">
        <f>IF(AND($F69&lt;&gt;"",$G69&gt;0),$F69/$G69,"")</f>
        <v/>
      </c>
    </row>
    <row r="70">
      <c r="A70" s="12" t="n"/>
      <c r="B70" s="12" t="n"/>
      <c r="C70" s="12" t="n"/>
      <c r="D70" s="12" t="n"/>
      <c r="E70" s="18" t="n"/>
      <c r="F70" s="18">
        <f>IF(AND($D70&lt;&gt;"",$E70&lt;&gt;""),$D70*$E70,"")</f>
        <v/>
      </c>
      <c r="G70" s="12" t="n"/>
      <c r="H70" s="18">
        <f>IF(AND($F70&lt;&gt;"",$G70&gt;0),$F70/$G70,"")</f>
        <v/>
      </c>
    </row>
    <row r="71">
      <c r="A71" s="15" t="n"/>
      <c r="B71" s="15" t="n"/>
      <c r="C71" s="15" t="n"/>
      <c r="D71" s="15" t="n"/>
      <c r="E71" s="16" t="n"/>
      <c r="F71" s="16">
        <f>IF(AND($D71&lt;&gt;"",$E71&lt;&gt;""),$D71*$E71,"")</f>
        <v/>
      </c>
      <c r="G71" s="15" t="n"/>
      <c r="H71" s="16">
        <f>IF(AND($F71&lt;&gt;"",$G71&gt;0),$F71/$G71,"")</f>
        <v/>
      </c>
    </row>
    <row r="72">
      <c r="A72" s="12" t="n"/>
      <c r="B72" s="12" t="n"/>
      <c r="C72" s="12" t="n"/>
      <c r="D72" s="12" t="n"/>
      <c r="E72" s="18" t="n"/>
      <c r="F72" s="18">
        <f>IF(AND($D72&lt;&gt;"",$E72&lt;&gt;""),$D72*$E72,"")</f>
        <v/>
      </c>
      <c r="G72" s="12" t="n"/>
      <c r="H72" s="18">
        <f>IF(AND($F72&lt;&gt;"",$G72&gt;0),$F72/$G72,"")</f>
        <v/>
      </c>
    </row>
    <row r="73">
      <c r="A73" s="15" t="n"/>
      <c r="B73" s="15" t="n"/>
      <c r="C73" s="15" t="n"/>
      <c r="D73" s="15" t="n"/>
      <c r="E73" s="16" t="n"/>
      <c r="F73" s="16">
        <f>IF(AND($D73&lt;&gt;"",$E73&lt;&gt;""),$D73*$E73,"")</f>
        <v/>
      </c>
      <c r="G73" s="15" t="n"/>
      <c r="H73" s="16">
        <f>IF(AND($F73&lt;&gt;"",$G73&gt;0),$F73/$G73,"")</f>
        <v/>
      </c>
    </row>
    <row r="74">
      <c r="A74" s="12" t="n"/>
      <c r="B74" s="12" t="n"/>
      <c r="C74" s="12" t="n"/>
      <c r="D74" s="12" t="n"/>
      <c r="E74" s="18" t="n"/>
      <c r="F74" s="18">
        <f>IF(AND($D74&lt;&gt;"",$E74&lt;&gt;""),$D74*$E74,"")</f>
        <v/>
      </c>
      <c r="G74" s="12" t="n"/>
      <c r="H74" s="18">
        <f>IF(AND($F74&lt;&gt;"",$G74&gt;0),$F74/$G74,"")</f>
        <v/>
      </c>
    </row>
    <row r="75">
      <c r="A75" s="15" t="n"/>
      <c r="B75" s="15" t="n"/>
      <c r="C75" s="15" t="n"/>
      <c r="D75" s="15" t="n"/>
      <c r="E75" s="16" t="n"/>
      <c r="F75" s="16">
        <f>IF(AND($D75&lt;&gt;"",$E75&lt;&gt;""),$D75*$E75,"")</f>
        <v/>
      </c>
      <c r="G75" s="15" t="n"/>
      <c r="H75" s="16">
        <f>IF(AND($F75&lt;&gt;"",$G75&gt;0),$F75/$G75,"")</f>
        <v/>
      </c>
    </row>
    <row r="76">
      <c r="A76" s="12" t="n"/>
      <c r="B76" s="12" t="n"/>
      <c r="C76" s="12" t="n"/>
      <c r="D76" s="12" t="n"/>
      <c r="E76" s="18" t="n"/>
      <c r="F76" s="18">
        <f>IF(AND($D76&lt;&gt;"",$E76&lt;&gt;""),$D76*$E76,"")</f>
        <v/>
      </c>
      <c r="G76" s="12" t="n"/>
      <c r="H76" s="18">
        <f>IF(AND($F76&lt;&gt;"",$G76&gt;0),$F76/$G76,"")</f>
        <v/>
      </c>
    </row>
    <row r="77">
      <c r="A77" s="15" t="n"/>
      <c r="B77" s="15" t="n"/>
      <c r="C77" s="15" t="n"/>
      <c r="D77" s="15" t="n"/>
      <c r="E77" s="16" t="n"/>
      <c r="F77" s="16">
        <f>IF(AND($D77&lt;&gt;"",$E77&lt;&gt;""),$D77*$E77,"")</f>
        <v/>
      </c>
      <c r="G77" s="15" t="n"/>
      <c r="H77" s="16">
        <f>IF(AND($F77&lt;&gt;"",$G77&gt;0),$F77/$G77,"")</f>
        <v/>
      </c>
    </row>
    <row r="78">
      <c r="A78" s="12" t="n"/>
      <c r="B78" s="12" t="n"/>
      <c r="C78" s="12" t="n"/>
      <c r="D78" s="12" t="n"/>
      <c r="E78" s="18" t="n"/>
      <c r="F78" s="18">
        <f>IF(AND($D78&lt;&gt;"",$E78&lt;&gt;""),$D78*$E78,"")</f>
        <v/>
      </c>
      <c r="G78" s="12" t="n"/>
      <c r="H78" s="18">
        <f>IF(AND($F78&lt;&gt;"",$G78&gt;0),$F78/$G78,"")</f>
        <v/>
      </c>
    </row>
    <row r="79">
      <c r="A79" s="15" t="n"/>
      <c r="B79" s="15" t="n"/>
      <c r="C79" s="15" t="n"/>
      <c r="D79" s="15" t="n"/>
      <c r="E79" s="16" t="n"/>
      <c r="F79" s="16">
        <f>IF(AND($D79&lt;&gt;"",$E79&lt;&gt;""),$D79*$E79,"")</f>
        <v/>
      </c>
      <c r="G79" s="15" t="n"/>
      <c r="H79" s="16">
        <f>IF(AND($F79&lt;&gt;"",$G79&gt;0),$F79/$G79,"")</f>
        <v/>
      </c>
    </row>
    <row r="80">
      <c r="A80" s="12" t="n"/>
      <c r="B80" s="12" t="n"/>
      <c r="C80" s="12" t="n"/>
      <c r="D80" s="12" t="n"/>
      <c r="E80" s="18" t="n"/>
      <c r="F80" s="18">
        <f>IF(AND($D80&lt;&gt;"",$E80&lt;&gt;""),$D80*$E80,"")</f>
        <v/>
      </c>
      <c r="G80" s="12" t="n"/>
      <c r="H80" s="18">
        <f>IF(AND($F80&lt;&gt;"",$G80&gt;0),$F80/$G80,"")</f>
        <v/>
      </c>
    </row>
    <row r="81">
      <c r="A81" s="15" t="n"/>
      <c r="B81" s="15" t="n"/>
      <c r="C81" s="15" t="n"/>
      <c r="D81" s="15" t="n"/>
      <c r="E81" s="16" t="n"/>
      <c r="F81" s="16">
        <f>IF(AND($D81&lt;&gt;"",$E81&lt;&gt;""),$D81*$E81,"")</f>
        <v/>
      </c>
      <c r="G81" s="15" t="n"/>
      <c r="H81" s="16">
        <f>IF(AND($F81&lt;&gt;"",$G81&gt;0),$F81/$G81,"")</f>
        <v/>
      </c>
    </row>
    <row r="82">
      <c r="A82" s="12" t="n"/>
      <c r="B82" s="12" t="n"/>
      <c r="C82" s="12" t="n"/>
      <c r="D82" s="12" t="n"/>
      <c r="E82" s="18" t="n"/>
      <c r="F82" s="18">
        <f>IF(AND($D82&lt;&gt;"",$E82&lt;&gt;""),$D82*$E82,"")</f>
        <v/>
      </c>
      <c r="G82" s="12" t="n"/>
      <c r="H82" s="18">
        <f>IF(AND($F82&lt;&gt;"",$G82&gt;0),$F82/$G82,"")</f>
        <v/>
      </c>
    </row>
    <row r="83">
      <c r="A83" s="15" t="n"/>
      <c r="B83" s="15" t="n"/>
      <c r="C83" s="15" t="n"/>
      <c r="D83" s="15" t="n"/>
      <c r="E83" s="16" t="n"/>
      <c r="F83" s="16">
        <f>IF(AND($D83&lt;&gt;"",$E83&lt;&gt;""),$D83*$E83,"")</f>
        <v/>
      </c>
      <c r="G83" s="15" t="n"/>
      <c r="H83" s="16">
        <f>IF(AND($F83&lt;&gt;"",$G83&gt;0),$F83/$G83,"")</f>
        <v/>
      </c>
    </row>
    <row r="84">
      <c r="A84" s="12" t="n"/>
      <c r="B84" s="12" t="n"/>
      <c r="C84" s="12" t="n"/>
      <c r="D84" s="12" t="n"/>
      <c r="E84" s="18" t="n"/>
      <c r="F84" s="18">
        <f>IF(AND($D84&lt;&gt;"",$E84&lt;&gt;""),$D84*$E84,"")</f>
        <v/>
      </c>
      <c r="G84" s="12" t="n"/>
      <c r="H84" s="18">
        <f>IF(AND($F84&lt;&gt;"",$G84&gt;0),$F84/$G84,"")</f>
        <v/>
      </c>
    </row>
    <row r="85">
      <c r="A85" s="15" t="n"/>
      <c r="B85" s="15" t="n"/>
      <c r="C85" s="15" t="n"/>
      <c r="D85" s="15" t="n"/>
      <c r="E85" s="16" t="n"/>
      <c r="F85" s="16">
        <f>IF(AND($D85&lt;&gt;"",$E85&lt;&gt;""),$D85*$E85,"")</f>
        <v/>
      </c>
      <c r="G85" s="15" t="n"/>
      <c r="H85" s="16">
        <f>IF(AND($F85&lt;&gt;"",$G85&gt;0),$F85/$G85,"")</f>
        <v/>
      </c>
    </row>
    <row r="86">
      <c r="A86" s="12" t="n"/>
      <c r="B86" s="12" t="n"/>
      <c r="C86" s="12" t="n"/>
      <c r="D86" s="12" t="n"/>
      <c r="E86" s="18" t="n"/>
      <c r="F86" s="18">
        <f>IF(AND($D86&lt;&gt;"",$E86&lt;&gt;""),$D86*$E86,"")</f>
        <v/>
      </c>
      <c r="G86" s="12" t="n"/>
      <c r="H86" s="18">
        <f>IF(AND($F86&lt;&gt;"",$G86&gt;0),$F86/$G86,"")</f>
        <v/>
      </c>
    </row>
    <row r="87">
      <c r="A87" s="15" t="n"/>
      <c r="B87" s="15" t="n"/>
      <c r="C87" s="15" t="n"/>
      <c r="D87" s="15" t="n"/>
      <c r="E87" s="16" t="n"/>
      <c r="F87" s="16">
        <f>IF(AND($D87&lt;&gt;"",$E87&lt;&gt;""),$D87*$E87,"")</f>
        <v/>
      </c>
      <c r="G87" s="15" t="n"/>
      <c r="H87" s="16">
        <f>IF(AND($F87&lt;&gt;"",$G87&gt;0),$F87/$G87,"")</f>
        <v/>
      </c>
    </row>
    <row r="88">
      <c r="A88" s="12" t="n"/>
      <c r="B88" s="12" t="n"/>
      <c r="C88" s="12" t="n"/>
      <c r="D88" s="12" t="n"/>
      <c r="E88" s="18" t="n"/>
      <c r="F88" s="18">
        <f>IF(AND($D88&lt;&gt;"",$E88&lt;&gt;""),$D88*$E88,"")</f>
        <v/>
      </c>
      <c r="G88" s="12" t="n"/>
      <c r="H88" s="18">
        <f>IF(AND($F88&lt;&gt;"",$G88&gt;0),$F88/$G88,"")</f>
        <v/>
      </c>
    </row>
    <row r="89">
      <c r="A89" s="15" t="n"/>
      <c r="B89" s="15" t="n"/>
      <c r="C89" s="15" t="n"/>
      <c r="D89" s="15" t="n"/>
      <c r="E89" s="16" t="n"/>
      <c r="F89" s="16">
        <f>IF(AND($D89&lt;&gt;"",$E89&lt;&gt;""),$D89*$E89,"")</f>
        <v/>
      </c>
      <c r="G89" s="15" t="n"/>
      <c r="H89" s="16">
        <f>IF(AND($F89&lt;&gt;"",$G89&gt;0),$F89/$G89,"")</f>
        <v/>
      </c>
    </row>
    <row r="90">
      <c r="A90" s="12" t="n"/>
      <c r="B90" s="12" t="n"/>
      <c r="C90" s="12" t="n"/>
      <c r="D90" s="12" t="n"/>
      <c r="E90" s="18" t="n"/>
      <c r="F90" s="18">
        <f>IF(AND($D90&lt;&gt;"",$E90&lt;&gt;""),$D90*$E90,"")</f>
        <v/>
      </c>
      <c r="G90" s="12" t="n"/>
      <c r="H90" s="18">
        <f>IF(AND($F90&lt;&gt;"",$G90&gt;0),$F90/$G90,"")</f>
        <v/>
      </c>
    </row>
    <row r="91">
      <c r="A91" s="15" t="n"/>
      <c r="B91" s="15" t="n"/>
      <c r="C91" s="15" t="n"/>
      <c r="D91" s="15" t="n"/>
      <c r="E91" s="16" t="n"/>
      <c r="F91" s="16">
        <f>IF(AND($D91&lt;&gt;"",$E91&lt;&gt;""),$D91*$E91,"")</f>
        <v/>
      </c>
      <c r="G91" s="15" t="n"/>
      <c r="H91" s="16">
        <f>IF(AND($F91&lt;&gt;"",$G91&gt;0),$F91/$G91,"")</f>
        <v/>
      </c>
    </row>
    <row r="92">
      <c r="A92" s="12" t="n"/>
      <c r="B92" s="12" t="n"/>
      <c r="C92" s="12" t="n"/>
      <c r="D92" s="12" t="n"/>
      <c r="E92" s="18" t="n"/>
      <c r="F92" s="18">
        <f>IF(AND($D92&lt;&gt;"",$E92&lt;&gt;""),$D92*$E92,"")</f>
        <v/>
      </c>
      <c r="G92" s="12" t="n"/>
      <c r="H92" s="18">
        <f>IF(AND($F92&lt;&gt;"",$G92&gt;0),$F92/$G92,"")</f>
        <v/>
      </c>
    </row>
    <row r="93">
      <c r="A93" s="15" t="n"/>
      <c r="B93" s="15" t="n"/>
      <c r="C93" s="15" t="n"/>
      <c r="D93" s="15" t="n"/>
      <c r="E93" s="16" t="n"/>
      <c r="F93" s="16">
        <f>IF(AND($D93&lt;&gt;"",$E93&lt;&gt;""),$D93*$E93,"")</f>
        <v/>
      </c>
      <c r="G93" s="15" t="n"/>
      <c r="H93" s="16">
        <f>IF(AND($F93&lt;&gt;"",$G93&gt;0),$F93/$G93,"")</f>
        <v/>
      </c>
    </row>
    <row r="94">
      <c r="A94" s="12" t="n"/>
      <c r="B94" s="12" t="n"/>
      <c r="C94" s="12" t="n"/>
      <c r="D94" s="12" t="n"/>
      <c r="E94" s="18" t="n"/>
      <c r="F94" s="18">
        <f>IF(AND($D94&lt;&gt;"",$E94&lt;&gt;""),$D94*$E94,"")</f>
        <v/>
      </c>
      <c r="G94" s="12" t="n"/>
      <c r="H94" s="18">
        <f>IF(AND($F94&lt;&gt;"",$G94&gt;0),$F94/$G94,"")</f>
        <v/>
      </c>
    </row>
    <row r="95">
      <c r="A95" s="15" t="n"/>
      <c r="B95" s="15" t="n"/>
      <c r="C95" s="15" t="n"/>
      <c r="D95" s="15" t="n"/>
      <c r="E95" s="16" t="n"/>
      <c r="F95" s="16">
        <f>IF(AND($D95&lt;&gt;"",$E95&lt;&gt;""),$D95*$E95,"")</f>
        <v/>
      </c>
      <c r="G95" s="15" t="n"/>
      <c r="H95" s="16">
        <f>IF(AND($F95&lt;&gt;"",$G95&gt;0),$F95/$G95,"")</f>
        <v/>
      </c>
    </row>
    <row r="96">
      <c r="A96" s="12" t="n"/>
      <c r="B96" s="12" t="n"/>
      <c r="C96" s="12" t="n"/>
      <c r="D96" s="12" t="n"/>
      <c r="E96" s="18" t="n"/>
      <c r="F96" s="18">
        <f>IF(AND($D96&lt;&gt;"",$E96&lt;&gt;""),$D96*$E96,"")</f>
        <v/>
      </c>
      <c r="G96" s="12" t="n"/>
      <c r="H96" s="18">
        <f>IF(AND($F96&lt;&gt;"",$G96&gt;0),$F96/$G96,"")</f>
        <v/>
      </c>
    </row>
    <row r="97">
      <c r="A97" s="15" t="n"/>
      <c r="B97" s="15" t="n"/>
      <c r="C97" s="15" t="n"/>
      <c r="D97" s="15" t="n"/>
      <c r="E97" s="16" t="n"/>
      <c r="F97" s="16">
        <f>IF(AND($D97&lt;&gt;"",$E97&lt;&gt;""),$D97*$E97,"")</f>
        <v/>
      </c>
      <c r="G97" s="15" t="n"/>
      <c r="H97" s="16">
        <f>IF(AND($F97&lt;&gt;"",$G97&gt;0),$F97/$G97,"")</f>
        <v/>
      </c>
    </row>
    <row r="98">
      <c r="A98" s="12" t="n"/>
      <c r="B98" s="12" t="n"/>
      <c r="C98" s="12" t="n"/>
      <c r="D98" s="12" t="n"/>
      <c r="E98" s="18" t="n"/>
      <c r="F98" s="18">
        <f>IF(AND($D98&lt;&gt;"",$E98&lt;&gt;""),$D98*$E98,"")</f>
        <v/>
      </c>
      <c r="G98" s="12" t="n"/>
      <c r="H98" s="18">
        <f>IF(AND($F98&lt;&gt;"",$G98&gt;0),$F98/$G98,"")</f>
        <v/>
      </c>
    </row>
    <row r="99">
      <c r="A99" s="15" t="n"/>
      <c r="B99" s="15" t="n"/>
      <c r="C99" s="15" t="n"/>
      <c r="D99" s="15" t="n"/>
      <c r="E99" s="16" t="n"/>
      <c r="F99" s="16">
        <f>IF(AND($D99&lt;&gt;"",$E99&lt;&gt;""),$D99*$E99,"")</f>
        <v/>
      </c>
      <c r="G99" s="15" t="n"/>
      <c r="H99" s="16">
        <f>IF(AND($F99&lt;&gt;"",$G99&gt;0),$F99/$G99,"")</f>
        <v/>
      </c>
    </row>
    <row r="100">
      <c r="A100" s="12" t="n"/>
      <c r="B100" s="12" t="n"/>
      <c r="C100" s="12" t="n"/>
      <c r="D100" s="12" t="n"/>
      <c r="E100" s="18" t="n"/>
      <c r="F100" s="18">
        <f>IF(AND($D100&lt;&gt;"",$E100&lt;&gt;""),$D100*$E100,"")</f>
        <v/>
      </c>
      <c r="G100" s="12" t="n"/>
      <c r="H100" s="18">
        <f>IF(AND($F100&lt;&gt;"",$G100&gt;0),$F100/$G100,"")</f>
        <v/>
      </c>
    </row>
    <row r="101">
      <c r="A101" s="15" t="n"/>
      <c r="B101" s="15" t="n"/>
      <c r="C101" s="15" t="n"/>
      <c r="D101" s="15" t="n"/>
      <c r="E101" s="16" t="n"/>
      <c r="F101" s="16">
        <f>IF(AND($D101&lt;&gt;"",$E101&lt;&gt;""),$D101*$E101,"")</f>
        <v/>
      </c>
      <c r="G101" s="15" t="n"/>
      <c r="H101" s="16">
        <f>IF(AND($F101&lt;&gt;"",$G101&gt;0),$F101/$G101,"")</f>
        <v/>
      </c>
    </row>
    <row r="102">
      <c r="A102" s="12" t="n"/>
      <c r="B102" s="12" t="n"/>
      <c r="C102" s="12" t="n"/>
      <c r="D102" s="12" t="n"/>
      <c r="E102" s="18" t="n"/>
      <c r="F102" s="18">
        <f>IF(AND($D102&lt;&gt;"",$E102&lt;&gt;""),$D102*$E102,"")</f>
        <v/>
      </c>
      <c r="G102" s="12" t="n"/>
      <c r="H102" s="18">
        <f>IF(AND($F102&lt;&gt;"",$G102&gt;0),$F102/$G102,"")</f>
        <v/>
      </c>
    </row>
    <row r="103">
      <c r="A103" s="15" t="n"/>
      <c r="B103" s="15" t="n"/>
      <c r="C103" s="15" t="n"/>
      <c r="D103" s="15" t="n"/>
      <c r="E103" s="16" t="n"/>
      <c r="F103" s="16">
        <f>IF(AND($D103&lt;&gt;"",$E103&lt;&gt;""),$D103*$E103,"")</f>
        <v/>
      </c>
      <c r="G103" s="15" t="n"/>
      <c r="H103" s="16">
        <f>IF(AND($F103&lt;&gt;"",$G103&gt;0),$F103/$G103,"")</f>
        <v/>
      </c>
    </row>
    <row r="104">
      <c r="A104" s="12" t="n"/>
      <c r="B104" s="12" t="n"/>
      <c r="C104" s="12" t="n"/>
      <c r="D104" s="12" t="n"/>
      <c r="E104" s="18" t="n"/>
      <c r="F104" s="18">
        <f>IF(AND($D104&lt;&gt;"",$E104&lt;&gt;""),$D104*$E104,"")</f>
        <v/>
      </c>
      <c r="G104" s="12" t="n"/>
      <c r="H104" s="18">
        <f>IF(AND($F104&lt;&gt;"",$G104&gt;0),$F104/$G104,"")</f>
        <v/>
      </c>
    </row>
    <row r="105">
      <c r="A105" s="15" t="n"/>
      <c r="B105" s="15" t="n"/>
      <c r="C105" s="15" t="n"/>
      <c r="D105" s="15" t="n"/>
      <c r="E105" s="16" t="n"/>
      <c r="F105" s="16">
        <f>IF(AND($D105&lt;&gt;"",$E105&lt;&gt;""),$D105*$E105,"")</f>
        <v/>
      </c>
      <c r="G105" s="15" t="n"/>
      <c r="H105" s="16">
        <f>IF(AND($F105&lt;&gt;"",$G105&gt;0),$F105/$G105,"")</f>
        <v/>
      </c>
    </row>
    <row r="106">
      <c r="A106" s="12" t="n"/>
      <c r="B106" s="12" t="n"/>
      <c r="C106" s="12" t="n"/>
      <c r="D106" s="12" t="n"/>
      <c r="E106" s="18" t="n"/>
      <c r="F106" s="18">
        <f>IF(AND($D106&lt;&gt;"",$E106&lt;&gt;""),$D106*$E106,"")</f>
        <v/>
      </c>
      <c r="G106" s="12" t="n"/>
      <c r="H106" s="18">
        <f>IF(AND($F106&lt;&gt;"",$G106&gt;0),$F106/$G106,"")</f>
        <v/>
      </c>
    </row>
    <row r="107">
      <c r="A107" s="15" t="n"/>
      <c r="B107" s="15" t="n"/>
      <c r="C107" s="15" t="n"/>
      <c r="D107" s="15" t="n"/>
      <c r="E107" s="16" t="n"/>
      <c r="F107" s="16">
        <f>IF(AND($D107&lt;&gt;"",$E107&lt;&gt;""),$D107*$E107,"")</f>
        <v/>
      </c>
      <c r="G107" s="15" t="n"/>
      <c r="H107" s="16">
        <f>IF(AND($F107&lt;&gt;"",$G107&gt;0),$F107/$G107,"")</f>
        <v/>
      </c>
    </row>
    <row r="108">
      <c r="A108" s="12" t="n"/>
      <c r="B108" s="12" t="n"/>
      <c r="C108" s="12" t="n"/>
      <c r="D108" s="12" t="n"/>
      <c r="E108" s="18" t="n"/>
      <c r="F108" s="18">
        <f>IF(AND($D108&lt;&gt;"",$E108&lt;&gt;""),$D108*$E108,"")</f>
        <v/>
      </c>
      <c r="G108" s="12" t="n"/>
      <c r="H108" s="18">
        <f>IF(AND($F108&lt;&gt;"",$G108&gt;0),$F108/$G108,"")</f>
        <v/>
      </c>
    </row>
    <row r="109">
      <c r="A109" s="15" t="n"/>
      <c r="B109" s="15" t="n"/>
      <c r="C109" s="15" t="n"/>
      <c r="D109" s="15" t="n"/>
      <c r="E109" s="16" t="n"/>
      <c r="F109" s="16">
        <f>IF(AND($D109&lt;&gt;"",$E109&lt;&gt;""),$D109*$E109,"")</f>
        <v/>
      </c>
      <c r="G109" s="15" t="n"/>
      <c r="H109" s="16">
        <f>IF(AND($F109&lt;&gt;"",$G109&gt;0),$F109/$G109,"")</f>
        <v/>
      </c>
    </row>
    <row r="110">
      <c r="A110" s="12" t="n"/>
      <c r="B110" s="12" t="n"/>
      <c r="C110" s="12" t="n"/>
      <c r="D110" s="12" t="n"/>
      <c r="E110" s="18" t="n"/>
      <c r="F110" s="18">
        <f>IF(AND($D110&lt;&gt;"",$E110&lt;&gt;""),$D110*$E110,"")</f>
        <v/>
      </c>
      <c r="G110" s="12" t="n"/>
      <c r="H110" s="18">
        <f>IF(AND($F110&lt;&gt;"",$G110&gt;0),$F110/$G110,"")</f>
        <v/>
      </c>
    </row>
    <row r="111">
      <c r="A111" s="15" t="n"/>
      <c r="B111" s="15" t="n"/>
      <c r="C111" s="15" t="n"/>
      <c r="D111" s="15" t="n"/>
      <c r="E111" s="16" t="n"/>
      <c r="F111" s="16">
        <f>IF(AND($D111&lt;&gt;"",$E111&lt;&gt;""),$D111*$E111,"")</f>
        <v/>
      </c>
      <c r="G111" s="15" t="n"/>
      <c r="H111" s="16">
        <f>IF(AND($F111&lt;&gt;"",$G111&gt;0),$F111/$G111,"")</f>
        <v/>
      </c>
    </row>
    <row r="112">
      <c r="A112" s="12" t="n"/>
      <c r="B112" s="12" t="n"/>
      <c r="C112" s="12" t="n"/>
      <c r="D112" s="12" t="n"/>
      <c r="E112" s="18" t="n"/>
      <c r="F112" s="18">
        <f>IF(AND($D112&lt;&gt;"",$E112&lt;&gt;""),$D112*$E112,"")</f>
        <v/>
      </c>
      <c r="G112" s="12" t="n"/>
      <c r="H112" s="18">
        <f>IF(AND($F112&lt;&gt;"",$G112&gt;0),$F112/$G112,"")</f>
        <v/>
      </c>
    </row>
    <row r="113">
      <c r="A113" s="15" t="n"/>
      <c r="B113" s="15" t="n"/>
      <c r="C113" s="15" t="n"/>
      <c r="D113" s="15" t="n"/>
      <c r="E113" s="16" t="n"/>
      <c r="F113" s="16">
        <f>IF(AND($D113&lt;&gt;"",$E113&lt;&gt;""),$D113*$E113,"")</f>
        <v/>
      </c>
      <c r="G113" s="15" t="n"/>
      <c r="H113" s="16">
        <f>IF(AND($F113&lt;&gt;"",$G113&gt;0),$F113/$G113,"")</f>
        <v/>
      </c>
    </row>
    <row r="114">
      <c r="A114" s="12" t="n"/>
      <c r="B114" s="12" t="n"/>
      <c r="C114" s="12" t="n"/>
      <c r="D114" s="12" t="n"/>
      <c r="E114" s="18" t="n"/>
      <c r="F114" s="18">
        <f>IF(AND($D114&lt;&gt;"",$E114&lt;&gt;""),$D114*$E114,"")</f>
        <v/>
      </c>
      <c r="G114" s="12" t="n"/>
      <c r="H114" s="18">
        <f>IF(AND($F114&lt;&gt;"",$G114&gt;0),$F114/$G114,"")</f>
        <v/>
      </c>
    </row>
    <row r="115">
      <c r="A115" s="15" t="n"/>
      <c r="B115" s="15" t="n"/>
      <c r="C115" s="15" t="n"/>
      <c r="D115" s="15" t="n"/>
      <c r="E115" s="16" t="n"/>
      <c r="F115" s="16">
        <f>IF(AND($D115&lt;&gt;"",$E115&lt;&gt;""),$D115*$E115,"")</f>
        <v/>
      </c>
      <c r="G115" s="15" t="n"/>
      <c r="H115" s="16">
        <f>IF(AND($F115&lt;&gt;"",$G115&gt;0),$F115/$G115,"")</f>
        <v/>
      </c>
    </row>
    <row r="116">
      <c r="A116" s="12" t="n"/>
      <c r="B116" s="12" t="n"/>
      <c r="C116" s="12" t="n"/>
      <c r="D116" s="12" t="n"/>
      <c r="E116" s="18" t="n"/>
      <c r="F116" s="18">
        <f>IF(AND($D116&lt;&gt;"",$E116&lt;&gt;""),$D116*$E116,"")</f>
        <v/>
      </c>
      <c r="G116" s="12" t="n"/>
      <c r="H116" s="18">
        <f>IF(AND($F116&lt;&gt;"",$G116&gt;0),$F116/$G116,"")</f>
        <v/>
      </c>
    </row>
    <row r="117">
      <c r="A117" s="15" t="n"/>
      <c r="B117" s="15" t="n"/>
      <c r="C117" s="15" t="n"/>
      <c r="D117" s="15" t="n"/>
      <c r="E117" s="16" t="n"/>
      <c r="F117" s="16">
        <f>IF(AND($D117&lt;&gt;"",$E117&lt;&gt;""),$D117*$E117,"")</f>
        <v/>
      </c>
      <c r="G117" s="15" t="n"/>
      <c r="H117" s="16">
        <f>IF(AND($F117&lt;&gt;"",$G117&gt;0),$F117/$G117,"")</f>
        <v/>
      </c>
    </row>
    <row r="118">
      <c r="A118" s="12" t="n"/>
      <c r="B118" s="12" t="n"/>
      <c r="C118" s="12" t="n"/>
      <c r="D118" s="12" t="n"/>
      <c r="E118" s="18" t="n"/>
      <c r="F118" s="18">
        <f>IF(AND($D118&lt;&gt;"",$E118&lt;&gt;""),$D118*$E118,"")</f>
        <v/>
      </c>
      <c r="G118" s="12" t="n"/>
      <c r="H118" s="18">
        <f>IF(AND($F118&lt;&gt;"",$G118&gt;0),$F118/$G118,"")</f>
        <v/>
      </c>
    </row>
    <row r="119">
      <c r="A119" s="15" t="n"/>
      <c r="B119" s="15" t="n"/>
      <c r="C119" s="15" t="n"/>
      <c r="D119" s="15" t="n"/>
      <c r="E119" s="16" t="n"/>
      <c r="F119" s="16">
        <f>IF(AND($D119&lt;&gt;"",$E119&lt;&gt;""),$D119*$E119,"")</f>
        <v/>
      </c>
      <c r="G119" s="15" t="n"/>
      <c r="H119" s="16">
        <f>IF(AND($F119&lt;&gt;"",$G119&gt;0),$F119/$G119,"")</f>
        <v/>
      </c>
    </row>
    <row r="120">
      <c r="A120" s="12" t="n"/>
      <c r="B120" s="12" t="n"/>
      <c r="C120" s="12" t="n"/>
      <c r="D120" s="12" t="n"/>
      <c r="E120" s="18" t="n"/>
      <c r="F120" s="18">
        <f>IF(AND($D120&lt;&gt;"",$E120&lt;&gt;""),$D120*$E120,"")</f>
        <v/>
      </c>
      <c r="G120" s="12" t="n"/>
      <c r="H120" s="18">
        <f>IF(AND($F120&lt;&gt;"",$G120&gt;0),$F120/$G120,"")</f>
        <v/>
      </c>
    </row>
    <row r="121">
      <c r="A121" s="15" t="n"/>
      <c r="B121" s="15" t="n"/>
      <c r="C121" s="15" t="n"/>
      <c r="D121" s="15" t="n"/>
      <c r="E121" s="16" t="n"/>
      <c r="F121" s="16">
        <f>IF(AND($D121&lt;&gt;"",$E121&lt;&gt;""),$D121*$E121,"")</f>
        <v/>
      </c>
      <c r="G121" s="15" t="n"/>
      <c r="H121" s="16">
        <f>IF(AND($F121&lt;&gt;"",$G121&gt;0),$F121/$G121,"")</f>
        <v/>
      </c>
    </row>
    <row r="122">
      <c r="A122" s="12" t="n"/>
      <c r="B122" s="12" t="n"/>
      <c r="C122" s="12" t="n"/>
      <c r="D122" s="12" t="n"/>
      <c r="E122" s="18" t="n"/>
      <c r="F122" s="18">
        <f>IF(AND($D122&lt;&gt;"",$E122&lt;&gt;""),$D122*$E122,"")</f>
        <v/>
      </c>
      <c r="G122" s="12" t="n"/>
      <c r="H122" s="18">
        <f>IF(AND($F122&lt;&gt;"",$G122&gt;0),$F122/$G122,"")</f>
        <v/>
      </c>
    </row>
    <row r="123">
      <c r="A123" s="15" t="n"/>
      <c r="B123" s="15" t="n"/>
      <c r="C123" s="15" t="n"/>
      <c r="D123" s="15" t="n"/>
      <c r="E123" s="16" t="n"/>
      <c r="F123" s="16">
        <f>IF(AND($D123&lt;&gt;"",$E123&lt;&gt;""),$D123*$E123,"")</f>
        <v/>
      </c>
      <c r="G123" s="15" t="n"/>
      <c r="H123" s="16">
        <f>IF(AND($F123&lt;&gt;"",$G123&gt;0),$F123/$G123,"")</f>
        <v/>
      </c>
    </row>
    <row r="124">
      <c r="A124" s="12" t="n"/>
      <c r="B124" s="12" t="n"/>
      <c r="C124" s="12" t="n"/>
      <c r="D124" s="12" t="n"/>
      <c r="E124" s="18" t="n"/>
      <c r="F124" s="18">
        <f>IF(AND($D124&lt;&gt;"",$E124&lt;&gt;""),$D124*$E124,"")</f>
        <v/>
      </c>
      <c r="G124" s="12" t="n"/>
      <c r="H124" s="18">
        <f>IF(AND($F124&lt;&gt;"",$G124&gt;0),$F124/$G124,"")</f>
        <v/>
      </c>
    </row>
    <row r="125">
      <c r="A125" s="15" t="n"/>
      <c r="B125" s="15" t="n"/>
      <c r="C125" s="15" t="n"/>
      <c r="D125" s="15" t="n"/>
      <c r="E125" s="16" t="n"/>
      <c r="F125" s="16">
        <f>IF(AND($D125&lt;&gt;"",$E125&lt;&gt;""),$D125*$E125,"")</f>
        <v/>
      </c>
      <c r="G125" s="15" t="n"/>
      <c r="H125" s="16">
        <f>IF(AND($F125&lt;&gt;"",$G125&gt;0),$F125/$G125,"")</f>
        <v/>
      </c>
    </row>
    <row r="126">
      <c r="A126" s="12" t="n"/>
      <c r="B126" s="12" t="n"/>
      <c r="C126" s="12" t="n"/>
      <c r="D126" s="12" t="n"/>
      <c r="E126" s="18" t="n"/>
      <c r="F126" s="18">
        <f>IF(AND($D126&lt;&gt;"",$E126&lt;&gt;""),$D126*$E126,"")</f>
        <v/>
      </c>
      <c r="G126" s="12" t="n"/>
      <c r="H126" s="18">
        <f>IF(AND($F126&lt;&gt;"",$G126&gt;0),$F126/$G126,"")</f>
        <v/>
      </c>
    </row>
    <row r="127">
      <c r="A127" s="15" t="n"/>
      <c r="B127" s="15" t="n"/>
      <c r="C127" s="15" t="n"/>
      <c r="D127" s="15" t="n"/>
      <c r="E127" s="16" t="n"/>
      <c r="F127" s="16">
        <f>IF(AND($D127&lt;&gt;"",$E127&lt;&gt;""),$D127*$E127,"")</f>
        <v/>
      </c>
      <c r="G127" s="15" t="n"/>
      <c r="H127" s="16">
        <f>IF(AND($F127&lt;&gt;"",$G127&gt;0),$F127/$G127,"")</f>
        <v/>
      </c>
    </row>
    <row r="128">
      <c r="A128" s="12" t="n"/>
      <c r="B128" s="12" t="n"/>
      <c r="C128" s="12" t="n"/>
      <c r="D128" s="12" t="n"/>
      <c r="E128" s="18" t="n"/>
      <c r="F128" s="18">
        <f>IF(AND($D128&lt;&gt;"",$E128&lt;&gt;""),$D128*$E128,"")</f>
        <v/>
      </c>
      <c r="G128" s="12" t="n"/>
      <c r="H128" s="18">
        <f>IF(AND($F128&lt;&gt;"",$G128&gt;0),$F128/$G128,"")</f>
        <v/>
      </c>
    </row>
    <row r="129">
      <c r="A129" s="15" t="n"/>
      <c r="B129" s="15" t="n"/>
      <c r="C129" s="15" t="n"/>
      <c r="D129" s="15" t="n"/>
      <c r="E129" s="16" t="n"/>
      <c r="F129" s="16">
        <f>IF(AND($D129&lt;&gt;"",$E129&lt;&gt;""),$D129*$E129,"")</f>
        <v/>
      </c>
      <c r="G129" s="15" t="n"/>
      <c r="H129" s="16">
        <f>IF(AND($F129&lt;&gt;"",$G129&gt;0),$F129/$G129,"")</f>
        <v/>
      </c>
    </row>
    <row r="130">
      <c r="A130" s="12" t="n"/>
      <c r="B130" s="12" t="n"/>
      <c r="C130" s="12" t="n"/>
      <c r="D130" s="12" t="n"/>
      <c r="E130" s="18" t="n"/>
      <c r="F130" s="18">
        <f>IF(AND($D130&lt;&gt;"",$E130&lt;&gt;""),$D130*$E130,"")</f>
        <v/>
      </c>
      <c r="G130" s="12" t="n"/>
      <c r="H130" s="18">
        <f>IF(AND($F130&lt;&gt;"",$G130&gt;0),$F130/$G130,"")</f>
        <v/>
      </c>
    </row>
    <row r="131">
      <c r="A131" s="15" t="n"/>
      <c r="B131" s="15" t="n"/>
      <c r="C131" s="15" t="n"/>
      <c r="D131" s="15" t="n"/>
      <c r="E131" s="16" t="n"/>
      <c r="F131" s="16">
        <f>IF(AND($D131&lt;&gt;"",$E131&lt;&gt;""),$D131*$E131,"")</f>
        <v/>
      </c>
      <c r="G131" s="15" t="n"/>
      <c r="H131" s="16">
        <f>IF(AND($F131&lt;&gt;"",$G131&gt;0),$F131/$G131,"")</f>
        <v/>
      </c>
    </row>
    <row r="132">
      <c r="A132" s="12" t="n"/>
      <c r="B132" s="12" t="n"/>
      <c r="C132" s="12" t="n"/>
      <c r="D132" s="12" t="n"/>
      <c r="E132" s="18" t="n"/>
      <c r="F132" s="18">
        <f>IF(AND($D132&lt;&gt;"",$E132&lt;&gt;""),$D132*$E132,"")</f>
        <v/>
      </c>
      <c r="G132" s="12" t="n"/>
      <c r="H132" s="18">
        <f>IF(AND($F132&lt;&gt;"",$G132&gt;0),$F132/$G132,"")</f>
        <v/>
      </c>
    </row>
    <row r="133">
      <c r="A133" s="15" t="n"/>
      <c r="B133" s="15" t="n"/>
      <c r="C133" s="15" t="n"/>
      <c r="D133" s="15" t="n"/>
      <c r="E133" s="16" t="n"/>
      <c r="F133" s="16">
        <f>IF(AND($D133&lt;&gt;"",$E133&lt;&gt;""),$D133*$E133,"")</f>
        <v/>
      </c>
      <c r="G133" s="15" t="n"/>
      <c r="H133" s="16">
        <f>IF(AND($F133&lt;&gt;"",$G133&gt;0),$F133/$G133,"")</f>
        <v/>
      </c>
    </row>
    <row r="134">
      <c r="A134" s="12" t="n"/>
      <c r="B134" s="12" t="n"/>
      <c r="C134" s="12" t="n"/>
      <c r="D134" s="12" t="n"/>
      <c r="E134" s="18" t="n"/>
      <c r="F134" s="18">
        <f>IF(AND($D134&lt;&gt;"",$E134&lt;&gt;""),$D134*$E134,"")</f>
        <v/>
      </c>
      <c r="G134" s="12" t="n"/>
      <c r="H134" s="18">
        <f>IF(AND($F134&lt;&gt;"",$G134&gt;0),$F134/$G134,"")</f>
        <v/>
      </c>
    </row>
    <row r="135">
      <c r="A135" s="15" t="n"/>
      <c r="B135" s="15" t="n"/>
      <c r="C135" s="15" t="n"/>
      <c r="D135" s="15" t="n"/>
      <c r="E135" s="16" t="n"/>
      <c r="F135" s="16">
        <f>IF(AND($D135&lt;&gt;"",$E135&lt;&gt;""),$D135*$E135,"")</f>
        <v/>
      </c>
      <c r="G135" s="15" t="n"/>
      <c r="H135" s="16">
        <f>IF(AND($F135&lt;&gt;"",$G135&gt;0),$F135/$G135,"")</f>
        <v/>
      </c>
    </row>
    <row r="136">
      <c r="A136" s="12" t="n"/>
      <c r="B136" s="12" t="n"/>
      <c r="C136" s="12" t="n"/>
      <c r="D136" s="12" t="n"/>
      <c r="E136" s="18" t="n"/>
      <c r="F136" s="18">
        <f>IF(AND($D136&lt;&gt;"",$E136&lt;&gt;""),$D136*$E136,"")</f>
        <v/>
      </c>
      <c r="G136" s="12" t="n"/>
      <c r="H136" s="18">
        <f>IF(AND($F136&lt;&gt;"",$G136&gt;0),$F136/$G136,"")</f>
        <v/>
      </c>
    </row>
    <row r="137">
      <c r="A137" s="15" t="n"/>
      <c r="B137" s="15" t="n"/>
      <c r="C137" s="15" t="n"/>
      <c r="D137" s="15" t="n"/>
      <c r="E137" s="16" t="n"/>
      <c r="F137" s="16">
        <f>IF(AND($D137&lt;&gt;"",$E137&lt;&gt;""),$D137*$E137,"")</f>
        <v/>
      </c>
      <c r="G137" s="15" t="n"/>
      <c r="H137" s="16">
        <f>IF(AND($F137&lt;&gt;"",$G137&gt;0),$F137/$G137,"")</f>
        <v/>
      </c>
    </row>
    <row r="138">
      <c r="A138" s="12" t="n"/>
      <c r="B138" s="12" t="n"/>
      <c r="C138" s="12" t="n"/>
      <c r="D138" s="12" t="n"/>
      <c r="E138" s="18" t="n"/>
      <c r="F138" s="18">
        <f>IF(AND($D138&lt;&gt;"",$E138&lt;&gt;""),$D138*$E138,"")</f>
        <v/>
      </c>
      <c r="G138" s="12" t="n"/>
      <c r="H138" s="18">
        <f>IF(AND($F138&lt;&gt;"",$G138&gt;0),$F138/$G138,"")</f>
        <v/>
      </c>
    </row>
    <row r="139">
      <c r="A139" s="15" t="n"/>
      <c r="B139" s="15" t="n"/>
      <c r="C139" s="15" t="n"/>
      <c r="D139" s="15" t="n"/>
      <c r="E139" s="16" t="n"/>
      <c r="F139" s="16">
        <f>IF(AND($D139&lt;&gt;"",$E139&lt;&gt;""),$D139*$E139,"")</f>
        <v/>
      </c>
      <c r="G139" s="15" t="n"/>
      <c r="H139" s="16">
        <f>IF(AND($F139&lt;&gt;"",$G139&gt;0),$F139/$G139,"")</f>
        <v/>
      </c>
    </row>
    <row r="140">
      <c r="A140" s="12" t="n"/>
      <c r="B140" s="12" t="n"/>
      <c r="C140" s="12" t="n"/>
      <c r="D140" s="12" t="n"/>
      <c r="E140" s="18" t="n"/>
      <c r="F140" s="18">
        <f>IF(AND($D140&lt;&gt;"",$E140&lt;&gt;""),$D140*$E140,"")</f>
        <v/>
      </c>
      <c r="G140" s="12" t="n"/>
      <c r="H140" s="18">
        <f>IF(AND($F140&lt;&gt;"",$G140&gt;0),$F140/$G140,"")</f>
        <v/>
      </c>
    </row>
    <row r="141">
      <c r="A141" s="15" t="n"/>
      <c r="B141" s="15" t="n"/>
      <c r="C141" s="15" t="n"/>
      <c r="D141" s="15" t="n"/>
      <c r="E141" s="16" t="n"/>
      <c r="F141" s="16">
        <f>IF(AND($D141&lt;&gt;"",$E141&lt;&gt;""),$D141*$E141,"")</f>
        <v/>
      </c>
      <c r="G141" s="15" t="n"/>
      <c r="H141" s="16">
        <f>IF(AND($F141&lt;&gt;"",$G141&gt;0),$F141/$G141,"")</f>
        <v/>
      </c>
    </row>
    <row r="142">
      <c r="A142" s="12" t="n"/>
      <c r="B142" s="12" t="n"/>
      <c r="C142" s="12" t="n"/>
      <c r="D142" s="12" t="n"/>
      <c r="E142" s="18" t="n"/>
      <c r="F142" s="18">
        <f>IF(AND($D142&lt;&gt;"",$E142&lt;&gt;""),$D142*$E142,"")</f>
        <v/>
      </c>
      <c r="G142" s="12" t="n"/>
      <c r="H142" s="18">
        <f>IF(AND($F142&lt;&gt;"",$G142&gt;0),$F142/$G142,"")</f>
        <v/>
      </c>
    </row>
    <row r="143">
      <c r="A143" s="15" t="n"/>
      <c r="B143" s="15" t="n"/>
      <c r="C143" s="15" t="n"/>
      <c r="D143" s="15" t="n"/>
      <c r="E143" s="16" t="n"/>
      <c r="F143" s="16">
        <f>IF(AND($D143&lt;&gt;"",$E143&lt;&gt;""),$D143*$E143,"")</f>
        <v/>
      </c>
      <c r="G143" s="15" t="n"/>
      <c r="H143" s="16">
        <f>IF(AND($F143&lt;&gt;"",$G143&gt;0),$F143/$G143,"")</f>
        <v/>
      </c>
    </row>
    <row r="144">
      <c r="A144" s="12" t="n"/>
      <c r="B144" s="12" t="n"/>
      <c r="C144" s="12" t="n"/>
      <c r="D144" s="12" t="n"/>
      <c r="E144" s="18" t="n"/>
      <c r="F144" s="18">
        <f>IF(AND($D144&lt;&gt;"",$E144&lt;&gt;""),$D144*$E144,"")</f>
        <v/>
      </c>
      <c r="G144" s="12" t="n"/>
      <c r="H144" s="18">
        <f>IF(AND($F144&lt;&gt;"",$G144&gt;0),$F144/$G144,"")</f>
        <v/>
      </c>
    </row>
    <row r="145">
      <c r="A145" s="15" t="n"/>
      <c r="B145" s="15" t="n"/>
      <c r="C145" s="15" t="n"/>
      <c r="D145" s="15" t="n"/>
      <c r="E145" s="16" t="n"/>
      <c r="F145" s="16">
        <f>IF(AND($D145&lt;&gt;"",$E145&lt;&gt;""),$D145*$E145,"")</f>
        <v/>
      </c>
      <c r="G145" s="15" t="n"/>
      <c r="H145" s="16">
        <f>IF(AND($F145&lt;&gt;"",$G145&gt;0),$F145/$G145,"")</f>
        <v/>
      </c>
    </row>
    <row r="146">
      <c r="A146" s="12" t="n"/>
      <c r="B146" s="12" t="n"/>
      <c r="C146" s="12" t="n"/>
      <c r="D146" s="12" t="n"/>
      <c r="E146" s="18" t="n"/>
      <c r="F146" s="18">
        <f>IF(AND($D146&lt;&gt;"",$E146&lt;&gt;""),$D146*$E146,"")</f>
        <v/>
      </c>
      <c r="G146" s="12" t="n"/>
      <c r="H146" s="18">
        <f>IF(AND($F146&lt;&gt;"",$G146&gt;0),$F146/$G146,"")</f>
        <v/>
      </c>
    </row>
    <row r="147">
      <c r="A147" s="15" t="n"/>
      <c r="B147" s="15" t="n"/>
      <c r="C147" s="15" t="n"/>
      <c r="D147" s="15" t="n"/>
      <c r="E147" s="16" t="n"/>
      <c r="F147" s="16">
        <f>IF(AND($D147&lt;&gt;"",$E147&lt;&gt;""),$D147*$E147,"")</f>
        <v/>
      </c>
      <c r="G147" s="15" t="n"/>
      <c r="H147" s="16">
        <f>IF(AND($F147&lt;&gt;"",$G147&gt;0),$F147/$G147,"")</f>
        <v/>
      </c>
    </row>
    <row r="148">
      <c r="A148" s="12" t="n"/>
      <c r="B148" s="12" t="n"/>
      <c r="C148" s="12" t="n"/>
      <c r="D148" s="12" t="n"/>
      <c r="E148" s="18" t="n"/>
      <c r="F148" s="18">
        <f>IF(AND($D148&lt;&gt;"",$E148&lt;&gt;""),$D148*$E148,"")</f>
        <v/>
      </c>
      <c r="G148" s="12" t="n"/>
      <c r="H148" s="18">
        <f>IF(AND($F148&lt;&gt;"",$G148&gt;0),$F148/$G148,"")</f>
        <v/>
      </c>
    </row>
    <row r="149">
      <c r="A149" s="15" t="n"/>
      <c r="B149" s="15" t="n"/>
      <c r="C149" s="15" t="n"/>
      <c r="D149" s="15" t="n"/>
      <c r="E149" s="16" t="n"/>
      <c r="F149" s="16">
        <f>IF(AND($D149&lt;&gt;"",$E149&lt;&gt;""),$D149*$E149,"")</f>
        <v/>
      </c>
      <c r="G149" s="15" t="n"/>
      <c r="H149" s="16">
        <f>IF(AND($F149&lt;&gt;"",$G149&gt;0),$F149/$G149,"")</f>
        <v/>
      </c>
    </row>
    <row r="150">
      <c r="A150" s="12" t="n"/>
      <c r="B150" s="12" t="n"/>
      <c r="C150" s="12" t="n"/>
      <c r="D150" s="12" t="n"/>
      <c r="E150" s="18" t="n"/>
      <c r="F150" s="18">
        <f>IF(AND($D150&lt;&gt;"",$E150&lt;&gt;""),$D150*$E150,"")</f>
        <v/>
      </c>
      <c r="G150" s="12" t="n"/>
      <c r="H150" s="18">
        <f>IF(AND($F150&lt;&gt;"",$G150&gt;0),$F150/$G150,"")</f>
        <v/>
      </c>
    </row>
    <row r="151">
      <c r="A151" s="15" t="n"/>
      <c r="B151" s="15" t="n"/>
      <c r="C151" s="15" t="n"/>
      <c r="D151" s="15" t="n"/>
      <c r="E151" s="16" t="n"/>
      <c r="F151" s="16">
        <f>IF(AND($D151&lt;&gt;"",$E151&lt;&gt;""),$D151*$E151,"")</f>
        <v/>
      </c>
      <c r="G151" s="15" t="n"/>
      <c r="H151" s="16">
        <f>IF(AND($F151&lt;&gt;"",$G151&gt;0),$F151/$G151,"")</f>
        <v/>
      </c>
    </row>
    <row r="152">
      <c r="A152" s="12" t="n"/>
      <c r="B152" s="12" t="n"/>
      <c r="C152" s="12" t="n"/>
      <c r="D152" s="12" t="n"/>
      <c r="E152" s="18" t="n"/>
      <c r="F152" s="18">
        <f>IF(AND($D152&lt;&gt;"",$E152&lt;&gt;""),$D152*$E152,"")</f>
        <v/>
      </c>
      <c r="G152" s="12" t="n"/>
      <c r="H152" s="18">
        <f>IF(AND($F152&lt;&gt;"",$G152&gt;0),$F152/$G152,"")</f>
        <v/>
      </c>
    </row>
    <row r="153">
      <c r="A153" s="15" t="n"/>
      <c r="B153" s="15" t="n"/>
      <c r="C153" s="15" t="n"/>
      <c r="D153" s="15" t="n"/>
      <c r="E153" s="16" t="n"/>
      <c r="F153" s="16">
        <f>IF(AND($D153&lt;&gt;"",$E153&lt;&gt;""),$D153*$E153,"")</f>
        <v/>
      </c>
      <c r="G153" s="15" t="n"/>
      <c r="H153" s="16">
        <f>IF(AND($F153&lt;&gt;"",$G153&gt;0),$F153/$G153,"")</f>
        <v/>
      </c>
    </row>
    <row r="154">
      <c r="A154" s="12" t="n"/>
      <c r="B154" s="12" t="n"/>
      <c r="C154" s="12" t="n"/>
      <c r="D154" s="12" t="n"/>
      <c r="E154" s="18" t="n"/>
      <c r="F154" s="18">
        <f>IF(AND($D154&lt;&gt;"",$E154&lt;&gt;""),$D154*$E154,"")</f>
        <v/>
      </c>
      <c r="G154" s="12" t="n"/>
      <c r="H154" s="18">
        <f>IF(AND($F154&lt;&gt;"",$G154&gt;0),$F154/$G154,"")</f>
        <v/>
      </c>
    </row>
    <row r="155">
      <c r="A155" s="15" t="n"/>
      <c r="B155" s="15" t="n"/>
      <c r="C155" s="15" t="n"/>
      <c r="D155" s="15" t="n"/>
      <c r="E155" s="16" t="n"/>
      <c r="F155" s="16">
        <f>IF(AND($D155&lt;&gt;"",$E155&lt;&gt;""),$D155*$E155,"")</f>
        <v/>
      </c>
      <c r="G155" s="15" t="n"/>
      <c r="H155" s="16">
        <f>IF(AND($F155&lt;&gt;"",$G155&gt;0),$F155/$G155,"")</f>
        <v/>
      </c>
    </row>
    <row r="156">
      <c r="A156" s="12" t="n"/>
      <c r="B156" s="12" t="n"/>
      <c r="C156" s="12" t="n"/>
      <c r="D156" s="12" t="n"/>
      <c r="E156" s="18" t="n"/>
      <c r="F156" s="18">
        <f>IF(AND($D156&lt;&gt;"",$E156&lt;&gt;""),$D156*$E156,"")</f>
        <v/>
      </c>
      <c r="G156" s="12" t="n"/>
      <c r="H156" s="18">
        <f>IF(AND($F156&lt;&gt;"",$G156&gt;0),$F156/$G156,"")</f>
        <v/>
      </c>
    </row>
    <row r="157">
      <c r="A157" s="15" t="n"/>
      <c r="B157" s="15" t="n"/>
      <c r="C157" s="15" t="n"/>
      <c r="D157" s="15" t="n"/>
      <c r="E157" s="16" t="n"/>
      <c r="F157" s="16">
        <f>IF(AND($D157&lt;&gt;"",$E157&lt;&gt;""),$D157*$E157,"")</f>
        <v/>
      </c>
      <c r="G157" s="15" t="n"/>
      <c r="H157" s="16">
        <f>IF(AND($F157&lt;&gt;"",$G157&gt;0),$F157/$G157,"")</f>
        <v/>
      </c>
    </row>
    <row r="158">
      <c r="A158" s="12" t="n"/>
      <c r="B158" s="12" t="n"/>
      <c r="C158" s="12" t="n"/>
      <c r="D158" s="12" t="n"/>
      <c r="E158" s="18" t="n"/>
      <c r="F158" s="18">
        <f>IF(AND($D158&lt;&gt;"",$E158&lt;&gt;""),$D158*$E158,"")</f>
        <v/>
      </c>
      <c r="G158" s="12" t="n"/>
      <c r="H158" s="18">
        <f>IF(AND($F158&lt;&gt;"",$G158&gt;0),$F158/$G158,"")</f>
        <v/>
      </c>
    </row>
    <row r="159">
      <c r="A159" s="15" t="n"/>
      <c r="B159" s="15" t="n"/>
      <c r="C159" s="15" t="n"/>
      <c r="D159" s="15" t="n"/>
      <c r="E159" s="16" t="n"/>
      <c r="F159" s="16">
        <f>IF(AND($D159&lt;&gt;"",$E159&lt;&gt;""),$D159*$E159,"")</f>
        <v/>
      </c>
      <c r="G159" s="15" t="n"/>
      <c r="H159" s="16">
        <f>IF(AND($F159&lt;&gt;"",$G159&gt;0),$F159/$G159,"")</f>
        <v/>
      </c>
    </row>
    <row r="160">
      <c r="A160" s="12" t="n"/>
      <c r="B160" s="12" t="n"/>
      <c r="C160" s="12" t="n"/>
      <c r="D160" s="12" t="n"/>
      <c r="E160" s="18" t="n"/>
      <c r="F160" s="18">
        <f>IF(AND($D160&lt;&gt;"",$E160&lt;&gt;""),$D160*$E160,"")</f>
        <v/>
      </c>
      <c r="G160" s="12" t="n"/>
      <c r="H160" s="18">
        <f>IF(AND($F160&lt;&gt;"",$G160&gt;0),$F160/$G160,"")</f>
        <v/>
      </c>
    </row>
    <row r="161">
      <c r="A161" s="15" t="n"/>
      <c r="B161" s="15" t="n"/>
      <c r="C161" s="15" t="n"/>
      <c r="D161" s="15" t="n"/>
      <c r="E161" s="16" t="n"/>
      <c r="F161" s="16">
        <f>IF(AND($D161&lt;&gt;"",$E161&lt;&gt;""),$D161*$E161,"")</f>
        <v/>
      </c>
      <c r="G161" s="15" t="n"/>
      <c r="H161" s="16">
        <f>IF(AND($F161&lt;&gt;"",$G161&gt;0),$F161/$G161,"")</f>
        <v/>
      </c>
    </row>
    <row r="162">
      <c r="A162" s="12" t="n"/>
      <c r="B162" s="12" t="n"/>
      <c r="C162" s="12" t="n"/>
      <c r="D162" s="12" t="n"/>
      <c r="E162" s="18" t="n"/>
      <c r="F162" s="18">
        <f>IF(AND($D162&lt;&gt;"",$E162&lt;&gt;""),$D162*$E162,"")</f>
        <v/>
      </c>
      <c r="G162" s="12" t="n"/>
      <c r="H162" s="18">
        <f>IF(AND($F162&lt;&gt;"",$G162&gt;0),$F162/$G162,"")</f>
        <v/>
      </c>
    </row>
    <row r="163">
      <c r="A163" s="15" t="n"/>
      <c r="B163" s="15" t="n"/>
      <c r="C163" s="15" t="n"/>
      <c r="D163" s="15" t="n"/>
      <c r="E163" s="16" t="n"/>
      <c r="F163" s="16">
        <f>IF(AND($D163&lt;&gt;"",$E163&lt;&gt;""),$D163*$E163,"")</f>
        <v/>
      </c>
      <c r="G163" s="15" t="n"/>
      <c r="H163" s="16">
        <f>IF(AND($F163&lt;&gt;"",$G163&gt;0),$F163/$G163,"")</f>
        <v/>
      </c>
    </row>
    <row r="164">
      <c r="A164" s="12" t="n"/>
      <c r="B164" s="12" t="n"/>
      <c r="C164" s="12" t="n"/>
      <c r="D164" s="12" t="n"/>
      <c r="E164" s="18" t="n"/>
      <c r="F164" s="18">
        <f>IF(AND($D164&lt;&gt;"",$E164&lt;&gt;""),$D164*$E164,"")</f>
        <v/>
      </c>
      <c r="G164" s="12" t="n"/>
      <c r="H164" s="18">
        <f>IF(AND($F164&lt;&gt;"",$G164&gt;0),$F164/$G164,"")</f>
        <v/>
      </c>
    </row>
    <row r="165">
      <c r="A165" s="15" t="n"/>
      <c r="B165" s="15" t="n"/>
      <c r="C165" s="15" t="n"/>
      <c r="D165" s="15" t="n"/>
      <c r="E165" s="16" t="n"/>
      <c r="F165" s="16">
        <f>IF(AND($D165&lt;&gt;"",$E165&lt;&gt;""),$D165*$E165,"")</f>
        <v/>
      </c>
      <c r="G165" s="15" t="n"/>
      <c r="H165" s="16">
        <f>IF(AND($F165&lt;&gt;"",$G165&gt;0),$F165/$G165,"")</f>
        <v/>
      </c>
    </row>
    <row r="166">
      <c r="A166" s="12" t="n"/>
      <c r="B166" s="12" t="n"/>
      <c r="C166" s="12" t="n"/>
      <c r="D166" s="12" t="n"/>
      <c r="E166" s="18" t="n"/>
      <c r="F166" s="18">
        <f>IF(AND($D166&lt;&gt;"",$E166&lt;&gt;""),$D166*$E166,"")</f>
        <v/>
      </c>
      <c r="G166" s="12" t="n"/>
      <c r="H166" s="18">
        <f>IF(AND($F166&lt;&gt;"",$G166&gt;0),$F166/$G166,"")</f>
        <v/>
      </c>
    </row>
    <row r="167">
      <c r="A167" s="15" t="n"/>
      <c r="B167" s="15" t="n"/>
      <c r="C167" s="15" t="n"/>
      <c r="D167" s="15" t="n"/>
      <c r="E167" s="16" t="n"/>
      <c r="F167" s="16">
        <f>IF(AND($D167&lt;&gt;"",$E167&lt;&gt;""),$D167*$E167,"")</f>
        <v/>
      </c>
      <c r="G167" s="15" t="n"/>
      <c r="H167" s="16">
        <f>IF(AND($F167&lt;&gt;"",$G167&gt;0),$F167/$G167,"")</f>
        <v/>
      </c>
    </row>
    <row r="168">
      <c r="A168" s="12" t="n"/>
      <c r="B168" s="12" t="n"/>
      <c r="C168" s="12" t="n"/>
      <c r="D168" s="12" t="n"/>
      <c r="E168" s="18" t="n"/>
      <c r="F168" s="18">
        <f>IF(AND($D168&lt;&gt;"",$E168&lt;&gt;""),$D168*$E168,"")</f>
        <v/>
      </c>
      <c r="G168" s="12" t="n"/>
      <c r="H168" s="18">
        <f>IF(AND($F168&lt;&gt;"",$G168&gt;0),$F168/$G168,"")</f>
        <v/>
      </c>
    </row>
    <row r="169">
      <c r="A169" s="15" t="n"/>
      <c r="B169" s="15" t="n"/>
      <c r="C169" s="15" t="n"/>
      <c r="D169" s="15" t="n"/>
      <c r="E169" s="16" t="n"/>
      <c r="F169" s="16">
        <f>IF(AND($D169&lt;&gt;"",$E169&lt;&gt;""),$D169*$E169,"")</f>
        <v/>
      </c>
      <c r="G169" s="15" t="n"/>
      <c r="H169" s="16">
        <f>IF(AND($F169&lt;&gt;"",$G169&gt;0),$F169/$G169,"")</f>
        <v/>
      </c>
    </row>
    <row r="170">
      <c r="A170" s="12" t="n"/>
      <c r="B170" s="12" t="n"/>
      <c r="C170" s="12" t="n"/>
      <c r="D170" s="12" t="n"/>
      <c r="E170" s="18" t="n"/>
      <c r="F170" s="18">
        <f>IF(AND($D170&lt;&gt;"",$E170&lt;&gt;""),$D170*$E170,"")</f>
        <v/>
      </c>
      <c r="G170" s="12" t="n"/>
      <c r="H170" s="18">
        <f>IF(AND($F170&lt;&gt;"",$G170&gt;0),$F170/$G170,"")</f>
        <v/>
      </c>
    </row>
    <row r="171">
      <c r="A171" s="15" t="n"/>
      <c r="B171" s="15" t="n"/>
      <c r="C171" s="15" t="n"/>
      <c r="D171" s="15" t="n"/>
      <c r="E171" s="16" t="n"/>
      <c r="F171" s="16">
        <f>IF(AND($D171&lt;&gt;"",$E171&lt;&gt;""),$D171*$E171,"")</f>
        <v/>
      </c>
      <c r="G171" s="15" t="n"/>
      <c r="H171" s="16">
        <f>IF(AND($F171&lt;&gt;"",$G171&gt;0),$F171/$G171,"")</f>
        <v/>
      </c>
    </row>
    <row r="172">
      <c r="A172" s="12" t="n"/>
      <c r="B172" s="12" t="n"/>
      <c r="C172" s="12" t="n"/>
      <c r="D172" s="12" t="n"/>
      <c r="E172" s="18" t="n"/>
      <c r="F172" s="18">
        <f>IF(AND($D172&lt;&gt;"",$E172&lt;&gt;""),$D172*$E172,"")</f>
        <v/>
      </c>
      <c r="G172" s="12" t="n"/>
      <c r="H172" s="18">
        <f>IF(AND($F172&lt;&gt;"",$G172&gt;0),$F172/$G172,"")</f>
        <v/>
      </c>
    </row>
    <row r="173">
      <c r="A173" s="15" t="n"/>
      <c r="B173" s="15" t="n"/>
      <c r="C173" s="15" t="n"/>
      <c r="D173" s="15" t="n"/>
      <c r="E173" s="16" t="n"/>
      <c r="F173" s="16">
        <f>IF(AND($D173&lt;&gt;"",$E173&lt;&gt;""),$D173*$E173,"")</f>
        <v/>
      </c>
      <c r="G173" s="15" t="n"/>
      <c r="H173" s="16">
        <f>IF(AND($F173&lt;&gt;"",$G173&gt;0),$F173/$G173,"")</f>
        <v/>
      </c>
    </row>
    <row r="174">
      <c r="A174" s="12" t="n"/>
      <c r="B174" s="12" t="n"/>
      <c r="C174" s="12" t="n"/>
      <c r="D174" s="12" t="n"/>
      <c r="E174" s="18" t="n"/>
      <c r="F174" s="18">
        <f>IF(AND($D174&lt;&gt;"",$E174&lt;&gt;""),$D174*$E174,"")</f>
        <v/>
      </c>
      <c r="G174" s="12" t="n"/>
      <c r="H174" s="18">
        <f>IF(AND($F174&lt;&gt;"",$G174&gt;0),$F174/$G174,"")</f>
        <v/>
      </c>
    </row>
    <row r="175">
      <c r="A175" s="15" t="n"/>
      <c r="B175" s="15" t="n"/>
      <c r="C175" s="15" t="n"/>
      <c r="D175" s="15" t="n"/>
      <c r="E175" s="16" t="n"/>
      <c r="F175" s="16">
        <f>IF(AND($D175&lt;&gt;"",$E175&lt;&gt;""),$D175*$E175,"")</f>
        <v/>
      </c>
      <c r="G175" s="15" t="n"/>
      <c r="H175" s="16">
        <f>IF(AND($F175&lt;&gt;"",$G175&gt;0),$F175/$G175,"")</f>
        <v/>
      </c>
    </row>
    <row r="176">
      <c r="A176" s="12" t="n"/>
      <c r="B176" s="12" t="n"/>
      <c r="C176" s="12" t="n"/>
      <c r="D176" s="12" t="n"/>
      <c r="E176" s="18" t="n"/>
      <c r="F176" s="18">
        <f>IF(AND($D176&lt;&gt;"",$E176&lt;&gt;""),$D176*$E176,"")</f>
        <v/>
      </c>
      <c r="G176" s="12" t="n"/>
      <c r="H176" s="18">
        <f>IF(AND($F176&lt;&gt;"",$G176&gt;0),$F176/$G176,"")</f>
        <v/>
      </c>
    </row>
    <row r="177">
      <c r="A177" s="15" t="n"/>
      <c r="B177" s="15" t="n"/>
      <c r="C177" s="15" t="n"/>
      <c r="D177" s="15" t="n"/>
      <c r="E177" s="16" t="n"/>
      <c r="F177" s="16">
        <f>IF(AND($D177&lt;&gt;"",$E177&lt;&gt;""),$D177*$E177,"")</f>
        <v/>
      </c>
      <c r="G177" s="15" t="n"/>
      <c r="H177" s="16">
        <f>IF(AND($F177&lt;&gt;"",$G177&gt;0),$F177/$G177,"")</f>
        <v/>
      </c>
    </row>
    <row r="178">
      <c r="A178" s="12" t="n"/>
      <c r="B178" s="12" t="n"/>
      <c r="C178" s="12" t="n"/>
      <c r="D178" s="12" t="n"/>
      <c r="E178" s="18" t="n"/>
      <c r="F178" s="18">
        <f>IF(AND($D178&lt;&gt;"",$E178&lt;&gt;""),$D178*$E178,"")</f>
        <v/>
      </c>
      <c r="G178" s="12" t="n"/>
      <c r="H178" s="18">
        <f>IF(AND($F178&lt;&gt;"",$G178&gt;0),$F178/$G178,"")</f>
        <v/>
      </c>
    </row>
    <row r="179">
      <c r="A179" s="15" t="n"/>
      <c r="B179" s="15" t="n"/>
      <c r="C179" s="15" t="n"/>
      <c r="D179" s="15" t="n"/>
      <c r="E179" s="16" t="n"/>
      <c r="F179" s="16">
        <f>IF(AND($D179&lt;&gt;"",$E179&lt;&gt;""),$D179*$E179,"")</f>
        <v/>
      </c>
      <c r="G179" s="15" t="n"/>
      <c r="H179" s="16">
        <f>IF(AND($F179&lt;&gt;"",$G179&gt;0),$F179/$G179,"")</f>
        <v/>
      </c>
    </row>
    <row r="180">
      <c r="A180" s="12" t="n"/>
      <c r="B180" s="12" t="n"/>
      <c r="C180" s="12" t="n"/>
      <c r="D180" s="12" t="n"/>
      <c r="E180" s="18" t="n"/>
      <c r="F180" s="18">
        <f>IF(AND($D180&lt;&gt;"",$E180&lt;&gt;""),$D180*$E180,"")</f>
        <v/>
      </c>
      <c r="G180" s="12" t="n"/>
      <c r="H180" s="18">
        <f>IF(AND($F180&lt;&gt;"",$G180&gt;0),$F180/$G180,"")</f>
        <v/>
      </c>
    </row>
    <row r="181">
      <c r="A181" s="15" t="n"/>
      <c r="B181" s="15" t="n"/>
      <c r="C181" s="15" t="n"/>
      <c r="D181" s="15" t="n"/>
      <c r="E181" s="16" t="n"/>
      <c r="F181" s="16">
        <f>IF(AND($D181&lt;&gt;"",$E181&lt;&gt;""),$D181*$E181,"")</f>
        <v/>
      </c>
      <c r="G181" s="15" t="n"/>
      <c r="H181" s="16">
        <f>IF(AND($F181&lt;&gt;"",$G181&gt;0),$F181/$G181,"")</f>
        <v/>
      </c>
    </row>
    <row r="182">
      <c r="A182" s="12" t="n"/>
      <c r="B182" s="12" t="n"/>
      <c r="C182" s="12" t="n"/>
      <c r="D182" s="12" t="n"/>
      <c r="E182" s="18" t="n"/>
      <c r="F182" s="18">
        <f>IF(AND($D182&lt;&gt;"",$E182&lt;&gt;""),$D182*$E182,"")</f>
        <v/>
      </c>
      <c r="G182" s="12" t="n"/>
      <c r="H182" s="18">
        <f>IF(AND($F182&lt;&gt;"",$G182&gt;0),$F182/$G182,"")</f>
        <v/>
      </c>
    </row>
    <row r="183">
      <c r="A183" s="15" t="n"/>
      <c r="B183" s="15" t="n"/>
      <c r="C183" s="15" t="n"/>
      <c r="D183" s="15" t="n"/>
      <c r="E183" s="16" t="n"/>
      <c r="F183" s="16">
        <f>IF(AND($D183&lt;&gt;"",$E183&lt;&gt;""),$D183*$E183,"")</f>
        <v/>
      </c>
      <c r="G183" s="15" t="n"/>
      <c r="H183" s="16">
        <f>IF(AND($F183&lt;&gt;"",$G183&gt;0),$F183/$G183,"")</f>
        <v/>
      </c>
    </row>
    <row r="184">
      <c r="A184" s="12" t="n"/>
      <c r="B184" s="12" t="n"/>
      <c r="C184" s="12" t="n"/>
      <c r="D184" s="12" t="n"/>
      <c r="E184" s="18" t="n"/>
      <c r="F184" s="18">
        <f>IF(AND($D184&lt;&gt;"",$E184&lt;&gt;""),$D184*$E184,"")</f>
        <v/>
      </c>
      <c r="G184" s="12" t="n"/>
      <c r="H184" s="18">
        <f>IF(AND($F184&lt;&gt;"",$G184&gt;0),$F184/$G184,"")</f>
        <v/>
      </c>
    </row>
    <row r="185">
      <c r="A185" s="15" t="n"/>
      <c r="B185" s="15" t="n"/>
      <c r="C185" s="15" t="n"/>
      <c r="D185" s="15" t="n"/>
      <c r="E185" s="16" t="n"/>
      <c r="F185" s="16">
        <f>IF(AND($D185&lt;&gt;"",$E185&lt;&gt;""),$D185*$E185,"")</f>
        <v/>
      </c>
      <c r="G185" s="15" t="n"/>
      <c r="H185" s="16">
        <f>IF(AND($F185&lt;&gt;"",$G185&gt;0),$F185/$G185,"")</f>
        <v/>
      </c>
    </row>
    <row r="186">
      <c r="A186" s="12" t="n"/>
      <c r="B186" s="12" t="n"/>
      <c r="C186" s="12" t="n"/>
      <c r="D186" s="12" t="n"/>
      <c r="E186" s="18" t="n"/>
      <c r="F186" s="18">
        <f>IF(AND($D186&lt;&gt;"",$E186&lt;&gt;""),$D186*$E186,"")</f>
        <v/>
      </c>
      <c r="G186" s="12" t="n"/>
      <c r="H186" s="18">
        <f>IF(AND($F186&lt;&gt;"",$G186&gt;0),$F186/$G186,"")</f>
        <v/>
      </c>
    </row>
    <row r="187">
      <c r="A187" s="15" t="n"/>
      <c r="B187" s="15" t="n"/>
      <c r="C187" s="15" t="n"/>
      <c r="D187" s="15" t="n"/>
      <c r="E187" s="16" t="n"/>
      <c r="F187" s="16">
        <f>IF(AND($D187&lt;&gt;"",$E187&lt;&gt;""),$D187*$E187,"")</f>
        <v/>
      </c>
      <c r="G187" s="15" t="n"/>
      <c r="H187" s="16">
        <f>IF(AND($F187&lt;&gt;"",$G187&gt;0),$F187/$G187,"")</f>
        <v/>
      </c>
    </row>
    <row r="188">
      <c r="A188" s="12" t="n"/>
      <c r="B188" s="12" t="n"/>
      <c r="C188" s="12" t="n"/>
      <c r="D188" s="12" t="n"/>
      <c r="E188" s="18" t="n"/>
      <c r="F188" s="18">
        <f>IF(AND($D188&lt;&gt;"",$E188&lt;&gt;""),$D188*$E188,"")</f>
        <v/>
      </c>
      <c r="G188" s="12" t="n"/>
      <c r="H188" s="18">
        <f>IF(AND($F188&lt;&gt;"",$G188&gt;0),$F188/$G188,"")</f>
        <v/>
      </c>
    </row>
    <row r="189">
      <c r="A189" s="15" t="n"/>
      <c r="B189" s="15" t="n"/>
      <c r="C189" s="15" t="n"/>
      <c r="D189" s="15" t="n"/>
      <c r="E189" s="16" t="n"/>
      <c r="F189" s="16">
        <f>IF(AND($D189&lt;&gt;"",$E189&lt;&gt;""),$D189*$E189,"")</f>
        <v/>
      </c>
      <c r="G189" s="15" t="n"/>
      <c r="H189" s="16">
        <f>IF(AND($F189&lt;&gt;"",$G189&gt;0),$F189/$G189,"")</f>
        <v/>
      </c>
    </row>
    <row r="190">
      <c r="A190" s="12" t="n"/>
      <c r="B190" s="12" t="n"/>
      <c r="C190" s="12" t="n"/>
      <c r="D190" s="12" t="n"/>
      <c r="E190" s="18" t="n"/>
      <c r="F190" s="18">
        <f>IF(AND($D190&lt;&gt;"",$E190&lt;&gt;""),$D190*$E190,"")</f>
        <v/>
      </c>
      <c r="G190" s="12" t="n"/>
      <c r="H190" s="18">
        <f>IF(AND($F190&lt;&gt;"",$G190&gt;0),$F190/$G190,"")</f>
        <v/>
      </c>
    </row>
    <row r="191">
      <c r="A191" s="15" t="n"/>
      <c r="B191" s="15" t="n"/>
      <c r="C191" s="15" t="n"/>
      <c r="D191" s="15" t="n"/>
      <c r="E191" s="16" t="n"/>
      <c r="F191" s="16">
        <f>IF(AND($D191&lt;&gt;"",$E191&lt;&gt;""),$D191*$E191,"")</f>
        <v/>
      </c>
      <c r="G191" s="15" t="n"/>
      <c r="H191" s="16">
        <f>IF(AND($F191&lt;&gt;"",$G191&gt;0),$F191/$G191,"")</f>
        <v/>
      </c>
    </row>
    <row r="192">
      <c r="A192" s="12" t="n"/>
      <c r="B192" s="12" t="n"/>
      <c r="C192" s="12" t="n"/>
      <c r="D192" s="12" t="n"/>
      <c r="E192" s="18" t="n"/>
      <c r="F192" s="18">
        <f>IF(AND($D192&lt;&gt;"",$E192&lt;&gt;""),$D192*$E192,"")</f>
        <v/>
      </c>
      <c r="G192" s="12" t="n"/>
      <c r="H192" s="18">
        <f>IF(AND($F192&lt;&gt;"",$G192&gt;0),$F192/$G192,"")</f>
        <v/>
      </c>
    </row>
    <row r="193">
      <c r="A193" s="15" t="n"/>
      <c r="B193" s="15" t="n"/>
      <c r="C193" s="15" t="n"/>
      <c r="D193" s="15" t="n"/>
      <c r="E193" s="16" t="n"/>
      <c r="F193" s="16">
        <f>IF(AND($D193&lt;&gt;"",$E193&lt;&gt;""),$D193*$E193,"")</f>
        <v/>
      </c>
      <c r="G193" s="15" t="n"/>
      <c r="H193" s="16">
        <f>IF(AND($F193&lt;&gt;"",$G193&gt;0),$F193/$G193,"")</f>
        <v/>
      </c>
    </row>
    <row r="194">
      <c r="A194" s="12" t="n"/>
      <c r="B194" s="12" t="n"/>
      <c r="C194" s="12" t="n"/>
      <c r="D194" s="12" t="n"/>
      <c r="E194" s="18" t="n"/>
      <c r="F194" s="18">
        <f>IF(AND($D194&lt;&gt;"",$E194&lt;&gt;""),$D194*$E194,"")</f>
        <v/>
      </c>
      <c r="G194" s="12" t="n"/>
      <c r="H194" s="18">
        <f>IF(AND($F194&lt;&gt;"",$G194&gt;0),$F194/$G194,"")</f>
        <v/>
      </c>
    </row>
    <row r="195">
      <c r="A195" s="15" t="n"/>
      <c r="B195" s="15" t="n"/>
      <c r="C195" s="15" t="n"/>
      <c r="D195" s="15" t="n"/>
      <c r="E195" s="16" t="n"/>
      <c r="F195" s="16">
        <f>IF(AND($D195&lt;&gt;"",$E195&lt;&gt;""),$D195*$E195,"")</f>
        <v/>
      </c>
      <c r="G195" s="15" t="n"/>
      <c r="H195" s="16">
        <f>IF(AND($F195&lt;&gt;"",$G195&gt;0),$F195/$G195,"")</f>
        <v/>
      </c>
    </row>
    <row r="196">
      <c r="A196" s="12" t="n"/>
      <c r="B196" s="12" t="n"/>
      <c r="C196" s="12" t="n"/>
      <c r="D196" s="12" t="n"/>
      <c r="E196" s="18" t="n"/>
      <c r="F196" s="18">
        <f>IF(AND($D196&lt;&gt;"",$E196&lt;&gt;""),$D196*$E196,"")</f>
        <v/>
      </c>
      <c r="G196" s="12" t="n"/>
      <c r="H196" s="18">
        <f>IF(AND($F196&lt;&gt;"",$G196&gt;0),$F196/$G196,"")</f>
        <v/>
      </c>
    </row>
    <row r="197">
      <c r="A197" s="15" t="n"/>
      <c r="B197" s="15" t="n"/>
      <c r="C197" s="15" t="n"/>
      <c r="D197" s="15" t="n"/>
      <c r="E197" s="16" t="n"/>
      <c r="F197" s="16">
        <f>IF(AND($D197&lt;&gt;"",$E197&lt;&gt;""),$D197*$E197,"")</f>
        <v/>
      </c>
      <c r="G197" s="15" t="n"/>
      <c r="H197" s="16">
        <f>IF(AND($F197&lt;&gt;"",$G197&gt;0),$F197/$G197,"")</f>
        <v/>
      </c>
    </row>
    <row r="198">
      <c r="A198" s="12" t="n"/>
      <c r="B198" s="12" t="n"/>
      <c r="C198" s="12" t="n"/>
      <c r="D198" s="12" t="n"/>
      <c r="E198" s="18" t="n"/>
      <c r="F198" s="18">
        <f>IF(AND($D198&lt;&gt;"",$E198&lt;&gt;""),$D198*$E198,"")</f>
        <v/>
      </c>
      <c r="G198" s="12" t="n"/>
      <c r="H198" s="18">
        <f>IF(AND($F198&lt;&gt;"",$G198&gt;0),$F198/$G198,"")</f>
        <v/>
      </c>
    </row>
    <row r="199">
      <c r="A199" s="15" t="n"/>
      <c r="B199" s="15" t="n"/>
      <c r="C199" s="15" t="n"/>
      <c r="D199" s="15" t="n"/>
      <c r="E199" s="16" t="n"/>
      <c r="F199" s="16">
        <f>IF(AND($D199&lt;&gt;"",$E199&lt;&gt;""),$D199*$E199,"")</f>
        <v/>
      </c>
      <c r="G199" s="15" t="n"/>
      <c r="H199" s="16">
        <f>IF(AND($F199&lt;&gt;"",$G199&gt;0),$F199/$G199,"")</f>
        <v/>
      </c>
    </row>
    <row r="200">
      <c r="A200" s="12" t="n"/>
      <c r="B200" s="12" t="n"/>
      <c r="C200" s="12" t="n"/>
      <c r="D200" s="12" t="n"/>
      <c r="E200" s="18" t="n"/>
      <c r="F200" s="18">
        <f>IF(AND($D200&lt;&gt;"",$E200&lt;&gt;""),$D200*$E200,"")</f>
        <v/>
      </c>
      <c r="G200" s="12" t="n"/>
      <c r="H200" s="18">
        <f>IF(AND($F200&lt;&gt;"",$G200&gt;0),$F200/$G200,"")</f>
        <v/>
      </c>
    </row>
    <row r="201">
      <c r="A201" s="15" t="n"/>
      <c r="B201" s="15" t="n"/>
      <c r="C201" s="15" t="n"/>
      <c r="D201" s="15" t="n"/>
      <c r="E201" s="16" t="n"/>
      <c r="F201" s="16">
        <f>IF(AND($D201&lt;&gt;"",$E201&lt;&gt;""),$D201*$E201,"")</f>
        <v/>
      </c>
      <c r="G201" s="15" t="n"/>
      <c r="H201" s="16">
        <f>IF(AND($F201&lt;&gt;"",$G201&gt;0),$F201/$G201,"")</f>
        <v/>
      </c>
    </row>
    <row r="202">
      <c r="A202" s="12" t="n"/>
      <c r="B202" s="12" t="n"/>
      <c r="C202" s="12" t="n"/>
      <c r="D202" s="12" t="n"/>
      <c r="E202" s="18" t="n"/>
      <c r="F202" s="18">
        <f>IF(AND($D202&lt;&gt;"",$E202&lt;&gt;""),$D202*$E202,"")</f>
        <v/>
      </c>
      <c r="G202" s="12" t="n"/>
      <c r="H202" s="18">
        <f>IF(AND($F202&lt;&gt;"",$G202&gt;0),$F202/$G202,"")</f>
        <v/>
      </c>
    </row>
    <row r="203">
      <c r="A203" s="15" t="n"/>
      <c r="B203" s="15" t="n"/>
      <c r="C203" s="15" t="n"/>
      <c r="D203" s="15" t="n"/>
      <c r="E203" s="16" t="n"/>
      <c r="F203" s="16">
        <f>IF(AND($D203&lt;&gt;"",$E203&lt;&gt;""),$D203*$E203,"")</f>
        <v/>
      </c>
      <c r="G203" s="15" t="n"/>
      <c r="H203" s="16">
        <f>IF(AND($F203&lt;&gt;"",$G203&gt;0),$F203/$G203,"")</f>
        <v/>
      </c>
    </row>
    <row r="204">
      <c r="A204" s="12" t="n"/>
      <c r="B204" s="12" t="n"/>
      <c r="C204" s="12" t="n"/>
      <c r="D204" s="12" t="n"/>
      <c r="E204" s="18" t="n"/>
      <c r="F204" s="18">
        <f>IF(AND($D204&lt;&gt;"",$E204&lt;&gt;""),$D204*$E204,"")</f>
        <v/>
      </c>
      <c r="G204" s="12" t="n"/>
      <c r="H204" s="18">
        <f>IF(AND($F204&lt;&gt;"",$G204&gt;0),$F204/$G204,"")</f>
        <v/>
      </c>
    </row>
    <row r="205">
      <c r="A205" s="15" t="n"/>
      <c r="B205" s="15" t="n"/>
      <c r="C205" s="15" t="n"/>
      <c r="D205" s="15" t="n"/>
      <c r="E205" s="16" t="n"/>
      <c r="F205" s="16">
        <f>IF(AND($D205&lt;&gt;"",$E205&lt;&gt;""),$D205*$E205,"")</f>
        <v/>
      </c>
      <c r="G205" s="15" t="n"/>
      <c r="H205" s="16">
        <f>IF(AND($F205&lt;&gt;"",$G205&gt;0),$F205/$G205,"")</f>
        <v/>
      </c>
    </row>
    <row r="206">
      <c r="A206" s="12" t="n"/>
      <c r="B206" s="12" t="n"/>
      <c r="C206" s="12" t="n"/>
      <c r="D206" s="12" t="n"/>
      <c r="E206" s="18" t="n"/>
      <c r="F206" s="18">
        <f>IF(AND($D206&lt;&gt;"",$E206&lt;&gt;""),$D206*$E206,"")</f>
        <v/>
      </c>
      <c r="G206" s="12" t="n"/>
      <c r="H206" s="18">
        <f>IF(AND($F206&lt;&gt;"",$G206&gt;0),$F206/$G206,"")</f>
        <v/>
      </c>
    </row>
    <row r="207">
      <c r="A207" s="15" t="n"/>
      <c r="B207" s="15" t="n"/>
      <c r="C207" s="15" t="n"/>
      <c r="D207" s="15" t="n"/>
      <c r="E207" s="16" t="n"/>
      <c r="F207" s="16">
        <f>IF(AND($D207&lt;&gt;"",$E207&lt;&gt;""),$D207*$E207,"")</f>
        <v/>
      </c>
      <c r="G207" s="15" t="n"/>
      <c r="H207" s="16">
        <f>IF(AND($F207&lt;&gt;"",$G207&gt;0),$F207/$G207,"")</f>
        <v/>
      </c>
    </row>
    <row r="208">
      <c r="A208" s="12" t="n"/>
      <c r="B208" s="12" t="n"/>
      <c r="C208" s="12" t="n"/>
      <c r="D208" s="12" t="n"/>
      <c r="E208" s="18" t="n"/>
      <c r="F208" s="18">
        <f>IF(AND($D208&lt;&gt;"",$E208&lt;&gt;""),$D208*$E208,"")</f>
        <v/>
      </c>
      <c r="G208" s="12" t="n"/>
      <c r="H208" s="18">
        <f>IF(AND($F208&lt;&gt;"",$G208&gt;0),$F208/$G208,"")</f>
        <v/>
      </c>
    </row>
    <row r="209">
      <c r="A209" s="15" t="n"/>
      <c r="B209" s="15" t="n"/>
      <c r="C209" s="15" t="n"/>
      <c r="D209" s="15" t="n"/>
      <c r="E209" s="16" t="n"/>
      <c r="F209" s="16">
        <f>IF(AND($D209&lt;&gt;"",$E209&lt;&gt;""),$D209*$E209,"")</f>
        <v/>
      </c>
      <c r="G209" s="15" t="n"/>
      <c r="H209" s="16">
        <f>IF(AND($F209&lt;&gt;"",$G209&gt;0),$F209/$G209,"")</f>
        <v/>
      </c>
    </row>
    <row r="210">
      <c r="A210" s="12" t="n"/>
      <c r="B210" s="12" t="n"/>
      <c r="C210" s="12" t="n"/>
      <c r="D210" s="12" t="n"/>
      <c r="E210" s="18" t="n"/>
      <c r="F210" s="18">
        <f>IF(AND($D210&lt;&gt;"",$E210&lt;&gt;""),$D210*$E210,"")</f>
        <v/>
      </c>
      <c r="G210" s="12" t="n"/>
      <c r="H210" s="18">
        <f>IF(AND($F210&lt;&gt;"",$G210&gt;0),$F210/$G210,"")</f>
        <v/>
      </c>
    </row>
    <row r="211">
      <c r="A211" s="15" t="n"/>
      <c r="B211" s="15" t="n"/>
      <c r="C211" s="15" t="n"/>
      <c r="D211" s="15" t="n"/>
      <c r="E211" s="16" t="n"/>
      <c r="F211" s="16">
        <f>IF(AND($D211&lt;&gt;"",$E211&lt;&gt;""),$D211*$E211,"")</f>
        <v/>
      </c>
      <c r="G211" s="15" t="n"/>
      <c r="H211" s="16">
        <f>IF(AND($F211&lt;&gt;"",$G211&gt;0),$F211/$G211,"")</f>
        <v/>
      </c>
    </row>
    <row r="212">
      <c r="A212" s="12" t="n"/>
      <c r="B212" s="12" t="n"/>
      <c r="C212" s="12" t="n"/>
      <c r="D212" s="12" t="n"/>
      <c r="E212" s="18" t="n"/>
      <c r="F212" s="18">
        <f>IF(AND($D212&lt;&gt;"",$E212&lt;&gt;""),$D212*$E212,"")</f>
        <v/>
      </c>
      <c r="G212" s="12" t="n"/>
      <c r="H212" s="18">
        <f>IF(AND($F212&lt;&gt;"",$G212&gt;0),$F212/$G212,"")</f>
        <v/>
      </c>
    </row>
    <row r="213">
      <c r="A213" s="15" t="n"/>
      <c r="B213" s="15" t="n"/>
      <c r="C213" s="15" t="n"/>
      <c r="D213" s="15" t="n"/>
      <c r="E213" s="16" t="n"/>
      <c r="F213" s="16">
        <f>IF(AND($D213&lt;&gt;"",$E213&lt;&gt;""),$D213*$E213,"")</f>
        <v/>
      </c>
      <c r="G213" s="15" t="n"/>
      <c r="H213" s="16">
        <f>IF(AND($F213&lt;&gt;"",$G213&gt;0),$F213/$G213,"")</f>
        <v/>
      </c>
    </row>
    <row r="214">
      <c r="A214" s="12" t="n"/>
      <c r="B214" s="12" t="n"/>
      <c r="C214" s="12" t="n"/>
      <c r="D214" s="12" t="n"/>
      <c r="E214" s="18" t="n"/>
      <c r="F214" s="18">
        <f>IF(AND($D214&lt;&gt;"",$E214&lt;&gt;""),$D214*$E214,"")</f>
        <v/>
      </c>
      <c r="G214" s="12" t="n"/>
      <c r="H214" s="18">
        <f>IF(AND($F214&lt;&gt;"",$G214&gt;0),$F214/$G214,"")</f>
        <v/>
      </c>
    </row>
    <row r="215">
      <c r="A215" s="15" t="n"/>
      <c r="B215" s="15" t="n"/>
      <c r="C215" s="15" t="n"/>
      <c r="D215" s="15" t="n"/>
      <c r="E215" s="16" t="n"/>
      <c r="F215" s="16">
        <f>IF(AND($D215&lt;&gt;"",$E215&lt;&gt;""),$D215*$E215,"")</f>
        <v/>
      </c>
      <c r="G215" s="15" t="n"/>
      <c r="H215" s="16">
        <f>IF(AND($F215&lt;&gt;"",$G215&gt;0),$F215/$G215,"")</f>
        <v/>
      </c>
    </row>
    <row r="216">
      <c r="A216" s="12" t="n"/>
      <c r="B216" s="12" t="n"/>
      <c r="C216" s="12" t="n"/>
      <c r="D216" s="12" t="n"/>
      <c r="E216" s="18" t="n"/>
      <c r="F216" s="18">
        <f>IF(AND($D216&lt;&gt;"",$E216&lt;&gt;""),$D216*$E216,"")</f>
        <v/>
      </c>
      <c r="G216" s="12" t="n"/>
      <c r="H216" s="18">
        <f>IF(AND($F216&lt;&gt;"",$G216&gt;0),$F216/$G216,"")</f>
        <v/>
      </c>
    </row>
    <row r="217">
      <c r="A217" s="15" t="n"/>
      <c r="B217" s="15" t="n"/>
      <c r="C217" s="15" t="n"/>
      <c r="D217" s="15" t="n"/>
      <c r="E217" s="16" t="n"/>
      <c r="F217" s="16">
        <f>IF(AND($D217&lt;&gt;"",$E217&lt;&gt;""),$D217*$E217,"")</f>
        <v/>
      </c>
      <c r="G217" s="15" t="n"/>
      <c r="H217" s="16">
        <f>IF(AND($F217&lt;&gt;"",$G217&gt;0),$F217/$G217,"")</f>
        <v/>
      </c>
    </row>
    <row r="218">
      <c r="A218" s="12" t="n"/>
      <c r="B218" s="12" t="n"/>
      <c r="C218" s="12" t="n"/>
      <c r="D218" s="12" t="n"/>
      <c r="E218" s="18" t="n"/>
      <c r="F218" s="18">
        <f>IF(AND($D218&lt;&gt;"",$E218&lt;&gt;""),$D218*$E218,"")</f>
        <v/>
      </c>
      <c r="G218" s="12" t="n"/>
      <c r="H218" s="18">
        <f>IF(AND($F218&lt;&gt;"",$G218&gt;0),$F218/$G218,"")</f>
        <v/>
      </c>
    </row>
    <row r="219">
      <c r="A219" s="15" t="n"/>
      <c r="B219" s="15" t="n"/>
      <c r="C219" s="15" t="n"/>
      <c r="D219" s="15" t="n"/>
      <c r="E219" s="16" t="n"/>
      <c r="F219" s="16">
        <f>IF(AND($D219&lt;&gt;"",$E219&lt;&gt;""),$D219*$E219,"")</f>
        <v/>
      </c>
      <c r="G219" s="15" t="n"/>
      <c r="H219" s="16">
        <f>IF(AND($F219&lt;&gt;"",$G219&gt;0),$F219/$G219,"")</f>
        <v/>
      </c>
    </row>
    <row r="220">
      <c r="A220" s="12" t="n"/>
      <c r="B220" s="12" t="n"/>
      <c r="C220" s="12" t="n"/>
      <c r="D220" s="12" t="n"/>
      <c r="E220" s="18" t="n"/>
      <c r="F220" s="18">
        <f>IF(AND($D220&lt;&gt;"",$E220&lt;&gt;""),$D220*$E220,"")</f>
        <v/>
      </c>
      <c r="G220" s="12" t="n"/>
      <c r="H220" s="18">
        <f>IF(AND($F220&lt;&gt;"",$G220&gt;0),$F220/$G220,"")</f>
        <v/>
      </c>
    </row>
    <row r="221">
      <c r="A221" s="15" t="n"/>
      <c r="B221" s="15" t="n"/>
      <c r="C221" s="15" t="n"/>
      <c r="D221" s="15" t="n"/>
      <c r="E221" s="16" t="n"/>
      <c r="F221" s="16">
        <f>IF(AND($D221&lt;&gt;"",$E221&lt;&gt;""),$D221*$E221,"")</f>
        <v/>
      </c>
      <c r="G221" s="15" t="n"/>
      <c r="H221" s="16">
        <f>IF(AND($F221&lt;&gt;"",$G221&gt;0),$F221/$G221,"")</f>
        <v/>
      </c>
    </row>
    <row r="222">
      <c r="A222" s="12" t="n"/>
      <c r="B222" s="12" t="n"/>
      <c r="C222" s="12" t="n"/>
      <c r="D222" s="12" t="n"/>
      <c r="E222" s="18" t="n"/>
      <c r="F222" s="18">
        <f>IF(AND($D222&lt;&gt;"",$E222&lt;&gt;""),$D222*$E222,"")</f>
        <v/>
      </c>
      <c r="G222" s="12" t="n"/>
      <c r="H222" s="18">
        <f>IF(AND($F222&lt;&gt;"",$G222&gt;0),$F222/$G222,"")</f>
        <v/>
      </c>
    </row>
    <row r="223">
      <c r="A223" s="15" t="n"/>
      <c r="B223" s="15" t="n"/>
      <c r="C223" s="15" t="n"/>
      <c r="D223" s="15" t="n"/>
      <c r="E223" s="16" t="n"/>
      <c r="F223" s="16">
        <f>IF(AND($D223&lt;&gt;"",$E223&lt;&gt;""),$D223*$E223,"")</f>
        <v/>
      </c>
      <c r="G223" s="15" t="n"/>
      <c r="H223" s="16">
        <f>IF(AND($F223&lt;&gt;"",$G223&gt;0),$F223/$G223,"")</f>
        <v/>
      </c>
    </row>
    <row r="224">
      <c r="A224" s="12" t="n"/>
      <c r="B224" s="12" t="n"/>
      <c r="C224" s="12" t="n"/>
      <c r="D224" s="12" t="n"/>
      <c r="E224" s="18" t="n"/>
      <c r="F224" s="18">
        <f>IF(AND($D224&lt;&gt;"",$E224&lt;&gt;""),$D224*$E224,"")</f>
        <v/>
      </c>
      <c r="G224" s="12" t="n"/>
      <c r="H224" s="18">
        <f>IF(AND($F224&lt;&gt;"",$G224&gt;0),$F224/$G224,"")</f>
        <v/>
      </c>
    </row>
    <row r="225">
      <c r="A225" s="15" t="n"/>
      <c r="B225" s="15" t="n"/>
      <c r="C225" s="15" t="n"/>
      <c r="D225" s="15" t="n"/>
      <c r="E225" s="16" t="n"/>
      <c r="F225" s="16">
        <f>IF(AND($D225&lt;&gt;"",$E225&lt;&gt;""),$D225*$E225,"")</f>
        <v/>
      </c>
      <c r="G225" s="15" t="n"/>
      <c r="H225" s="16">
        <f>IF(AND($F225&lt;&gt;"",$G225&gt;0),$F225/$G225,"")</f>
        <v/>
      </c>
    </row>
    <row r="226">
      <c r="A226" s="12" t="n"/>
      <c r="B226" s="12" t="n"/>
      <c r="C226" s="12" t="n"/>
      <c r="D226" s="12" t="n"/>
      <c r="E226" s="18" t="n"/>
      <c r="F226" s="18">
        <f>IF(AND($D226&lt;&gt;"",$E226&lt;&gt;""),$D226*$E226,"")</f>
        <v/>
      </c>
      <c r="G226" s="12" t="n"/>
      <c r="H226" s="18">
        <f>IF(AND($F226&lt;&gt;"",$G226&gt;0),$F226/$G226,"")</f>
        <v/>
      </c>
    </row>
    <row r="227">
      <c r="A227" s="15" t="n"/>
      <c r="B227" s="15" t="n"/>
      <c r="C227" s="15" t="n"/>
      <c r="D227" s="15" t="n"/>
      <c r="E227" s="16" t="n"/>
      <c r="F227" s="16">
        <f>IF(AND($D227&lt;&gt;"",$E227&lt;&gt;""),$D227*$E227,"")</f>
        <v/>
      </c>
      <c r="G227" s="15" t="n"/>
      <c r="H227" s="16">
        <f>IF(AND($F227&lt;&gt;"",$G227&gt;0),$F227/$G227,"")</f>
        <v/>
      </c>
    </row>
    <row r="228">
      <c r="A228" s="12" t="n"/>
      <c r="B228" s="12" t="n"/>
      <c r="C228" s="12" t="n"/>
      <c r="D228" s="12" t="n"/>
      <c r="E228" s="18" t="n"/>
      <c r="F228" s="18">
        <f>IF(AND($D228&lt;&gt;"",$E228&lt;&gt;""),$D228*$E228,"")</f>
        <v/>
      </c>
      <c r="G228" s="12" t="n"/>
      <c r="H228" s="18">
        <f>IF(AND($F228&lt;&gt;"",$G228&gt;0),$F228/$G228,"")</f>
        <v/>
      </c>
    </row>
    <row r="229">
      <c r="A229" s="15" t="n"/>
      <c r="B229" s="15" t="n"/>
      <c r="C229" s="15" t="n"/>
      <c r="D229" s="15" t="n"/>
      <c r="E229" s="16" t="n"/>
      <c r="F229" s="16">
        <f>IF(AND($D229&lt;&gt;"",$E229&lt;&gt;""),$D229*$E229,"")</f>
        <v/>
      </c>
      <c r="G229" s="15" t="n"/>
      <c r="H229" s="16">
        <f>IF(AND($F229&lt;&gt;"",$G229&gt;0),$F229/$G229,"")</f>
        <v/>
      </c>
    </row>
    <row r="230">
      <c r="A230" s="12" t="n"/>
      <c r="B230" s="12" t="n"/>
      <c r="C230" s="12" t="n"/>
      <c r="D230" s="12" t="n"/>
      <c r="E230" s="18" t="n"/>
      <c r="F230" s="18">
        <f>IF(AND($D230&lt;&gt;"",$E230&lt;&gt;""),$D230*$E230,"")</f>
        <v/>
      </c>
      <c r="G230" s="12" t="n"/>
      <c r="H230" s="18">
        <f>IF(AND($F230&lt;&gt;"",$G230&gt;0),$F230/$G230,"")</f>
        <v/>
      </c>
    </row>
    <row r="231">
      <c r="A231" s="15" t="n"/>
      <c r="B231" s="15" t="n"/>
      <c r="C231" s="15" t="n"/>
      <c r="D231" s="15" t="n"/>
      <c r="E231" s="16" t="n"/>
      <c r="F231" s="16">
        <f>IF(AND($D231&lt;&gt;"",$E231&lt;&gt;""),$D231*$E231,"")</f>
        <v/>
      </c>
      <c r="G231" s="15" t="n"/>
      <c r="H231" s="16">
        <f>IF(AND($F231&lt;&gt;"",$G231&gt;0),$F231/$G231,"")</f>
        <v/>
      </c>
    </row>
    <row r="232">
      <c r="A232" s="12" t="n"/>
      <c r="B232" s="12" t="n"/>
      <c r="C232" s="12" t="n"/>
      <c r="D232" s="12" t="n"/>
      <c r="E232" s="18" t="n"/>
      <c r="F232" s="18">
        <f>IF(AND($D232&lt;&gt;"",$E232&lt;&gt;""),$D232*$E232,"")</f>
        <v/>
      </c>
      <c r="G232" s="12" t="n"/>
      <c r="H232" s="18">
        <f>IF(AND($F232&lt;&gt;"",$G232&gt;0),$F232/$G232,"")</f>
        <v/>
      </c>
    </row>
    <row r="233">
      <c r="A233" s="15" t="n"/>
      <c r="B233" s="15" t="n"/>
      <c r="C233" s="15" t="n"/>
      <c r="D233" s="15" t="n"/>
      <c r="E233" s="16" t="n"/>
      <c r="F233" s="16">
        <f>IF(AND($D233&lt;&gt;"",$E233&lt;&gt;""),$D233*$E233,"")</f>
        <v/>
      </c>
      <c r="G233" s="15" t="n"/>
      <c r="H233" s="16">
        <f>IF(AND($F233&lt;&gt;"",$G233&gt;0),$F233/$G233,"")</f>
        <v/>
      </c>
    </row>
    <row r="234">
      <c r="A234" s="12" t="n"/>
      <c r="B234" s="12" t="n"/>
      <c r="C234" s="12" t="n"/>
      <c r="D234" s="12" t="n"/>
      <c r="E234" s="18" t="n"/>
      <c r="F234" s="18">
        <f>IF(AND($D234&lt;&gt;"",$E234&lt;&gt;""),$D234*$E234,"")</f>
        <v/>
      </c>
      <c r="G234" s="12" t="n"/>
      <c r="H234" s="18">
        <f>IF(AND($F234&lt;&gt;"",$G234&gt;0),$F234/$G234,"")</f>
        <v/>
      </c>
    </row>
    <row r="235">
      <c r="A235" s="15" t="n"/>
      <c r="B235" s="15" t="n"/>
      <c r="C235" s="15" t="n"/>
      <c r="D235" s="15" t="n"/>
      <c r="E235" s="16" t="n"/>
      <c r="F235" s="16">
        <f>IF(AND($D235&lt;&gt;"",$E235&lt;&gt;""),$D235*$E235,"")</f>
        <v/>
      </c>
      <c r="G235" s="15" t="n"/>
      <c r="H235" s="16">
        <f>IF(AND($F235&lt;&gt;"",$G235&gt;0),$F235/$G235,"")</f>
        <v/>
      </c>
    </row>
    <row r="236">
      <c r="A236" s="12" t="n"/>
      <c r="B236" s="12" t="n"/>
      <c r="C236" s="12" t="n"/>
      <c r="D236" s="12" t="n"/>
      <c r="E236" s="18" t="n"/>
      <c r="F236" s="18">
        <f>IF(AND($D236&lt;&gt;"",$E236&lt;&gt;""),$D236*$E236,"")</f>
        <v/>
      </c>
      <c r="G236" s="12" t="n"/>
      <c r="H236" s="18">
        <f>IF(AND($F236&lt;&gt;"",$G236&gt;0),$F236/$G236,"")</f>
        <v/>
      </c>
    </row>
    <row r="237">
      <c r="A237" s="15" t="n"/>
      <c r="B237" s="15" t="n"/>
      <c r="C237" s="15" t="n"/>
      <c r="D237" s="15" t="n"/>
      <c r="E237" s="16" t="n"/>
      <c r="F237" s="16">
        <f>IF(AND($D237&lt;&gt;"",$E237&lt;&gt;""),$D237*$E237,"")</f>
        <v/>
      </c>
      <c r="G237" s="15" t="n"/>
      <c r="H237" s="16">
        <f>IF(AND($F237&lt;&gt;"",$G237&gt;0),$F237/$G237,"")</f>
        <v/>
      </c>
    </row>
    <row r="238">
      <c r="A238" s="12" t="n"/>
      <c r="B238" s="12" t="n"/>
      <c r="C238" s="12" t="n"/>
      <c r="D238" s="12" t="n"/>
      <c r="E238" s="18" t="n"/>
      <c r="F238" s="18">
        <f>IF(AND($D238&lt;&gt;"",$E238&lt;&gt;""),$D238*$E238,"")</f>
        <v/>
      </c>
      <c r="G238" s="12" t="n"/>
      <c r="H238" s="18">
        <f>IF(AND($F238&lt;&gt;"",$G238&gt;0),$F238/$G238,"")</f>
        <v/>
      </c>
    </row>
    <row r="239">
      <c r="A239" s="15" t="n"/>
      <c r="B239" s="15" t="n"/>
      <c r="C239" s="15" t="n"/>
      <c r="D239" s="15" t="n"/>
      <c r="E239" s="16" t="n"/>
      <c r="F239" s="16">
        <f>IF(AND($D239&lt;&gt;"",$E239&lt;&gt;""),$D239*$E239,"")</f>
        <v/>
      </c>
      <c r="G239" s="15" t="n"/>
      <c r="H239" s="16">
        <f>IF(AND($F239&lt;&gt;"",$G239&gt;0),$F239/$G239,"")</f>
        <v/>
      </c>
    </row>
    <row r="240">
      <c r="A240" s="12" t="n"/>
      <c r="B240" s="12" t="n"/>
      <c r="C240" s="12" t="n"/>
      <c r="D240" s="12" t="n"/>
      <c r="E240" s="18" t="n"/>
      <c r="F240" s="18">
        <f>IF(AND($D240&lt;&gt;"",$E240&lt;&gt;""),$D240*$E240,"")</f>
        <v/>
      </c>
      <c r="G240" s="12" t="n"/>
      <c r="H240" s="18">
        <f>IF(AND($F240&lt;&gt;"",$G240&gt;0),$F240/$G240,"")</f>
        <v/>
      </c>
    </row>
    <row r="241">
      <c r="A241" s="15" t="n"/>
      <c r="B241" s="15" t="n"/>
      <c r="C241" s="15" t="n"/>
      <c r="D241" s="15" t="n"/>
      <c r="E241" s="16" t="n"/>
      <c r="F241" s="16">
        <f>IF(AND($D241&lt;&gt;"",$E241&lt;&gt;""),$D241*$E241,"")</f>
        <v/>
      </c>
      <c r="G241" s="15" t="n"/>
      <c r="H241" s="16">
        <f>IF(AND($F241&lt;&gt;"",$G241&gt;0),$F241/$G241,"")</f>
        <v/>
      </c>
    </row>
    <row r="242">
      <c r="A242" s="12" t="n"/>
      <c r="B242" s="12" t="n"/>
      <c r="C242" s="12" t="n"/>
      <c r="D242" s="12" t="n"/>
      <c r="E242" s="18" t="n"/>
      <c r="F242" s="18">
        <f>IF(AND($D242&lt;&gt;"",$E242&lt;&gt;""),$D242*$E242,"")</f>
        <v/>
      </c>
      <c r="G242" s="12" t="n"/>
      <c r="H242" s="18">
        <f>IF(AND($F242&lt;&gt;"",$G242&gt;0),$F242/$G242,"")</f>
        <v/>
      </c>
    </row>
    <row r="243">
      <c r="A243" s="15" t="n"/>
      <c r="B243" s="15" t="n"/>
      <c r="C243" s="15" t="n"/>
      <c r="D243" s="15" t="n"/>
      <c r="E243" s="16" t="n"/>
      <c r="F243" s="16">
        <f>IF(AND($D243&lt;&gt;"",$E243&lt;&gt;""),$D243*$E243,"")</f>
        <v/>
      </c>
      <c r="G243" s="15" t="n"/>
      <c r="H243" s="16">
        <f>IF(AND($F243&lt;&gt;"",$G243&gt;0),$F243/$G243,"")</f>
        <v/>
      </c>
    </row>
    <row r="244">
      <c r="A244" s="12" t="n"/>
      <c r="B244" s="12" t="n"/>
      <c r="C244" s="12" t="n"/>
      <c r="D244" s="12" t="n"/>
      <c r="E244" s="18" t="n"/>
      <c r="F244" s="18">
        <f>IF(AND($D244&lt;&gt;"",$E244&lt;&gt;""),$D244*$E244,"")</f>
        <v/>
      </c>
      <c r="G244" s="12" t="n"/>
      <c r="H244" s="18">
        <f>IF(AND($F244&lt;&gt;"",$G244&gt;0),$F244/$G244,"")</f>
        <v/>
      </c>
    </row>
    <row r="245">
      <c r="A245" s="15" t="n"/>
      <c r="B245" s="15" t="n"/>
      <c r="C245" s="15" t="n"/>
      <c r="D245" s="15" t="n"/>
      <c r="E245" s="16" t="n"/>
      <c r="F245" s="16">
        <f>IF(AND($D245&lt;&gt;"",$E245&lt;&gt;""),$D245*$E245,"")</f>
        <v/>
      </c>
      <c r="G245" s="15" t="n"/>
      <c r="H245" s="16">
        <f>IF(AND($F245&lt;&gt;"",$G245&gt;0),$F245/$G245,"")</f>
        <v/>
      </c>
    </row>
    <row r="246">
      <c r="A246" s="12" t="n"/>
      <c r="B246" s="12" t="n"/>
      <c r="C246" s="12" t="n"/>
      <c r="D246" s="12" t="n"/>
      <c r="E246" s="18" t="n"/>
      <c r="F246" s="18">
        <f>IF(AND($D246&lt;&gt;"",$E246&lt;&gt;""),$D246*$E246,"")</f>
        <v/>
      </c>
      <c r="G246" s="12" t="n"/>
      <c r="H246" s="18">
        <f>IF(AND($F246&lt;&gt;"",$G246&gt;0),$F246/$G246,"")</f>
        <v/>
      </c>
    </row>
    <row r="247">
      <c r="A247" s="15" t="n"/>
      <c r="B247" s="15" t="n"/>
      <c r="C247" s="15" t="n"/>
      <c r="D247" s="15" t="n"/>
      <c r="E247" s="16" t="n"/>
      <c r="F247" s="16">
        <f>IF(AND($D247&lt;&gt;"",$E247&lt;&gt;""),$D247*$E247,"")</f>
        <v/>
      </c>
      <c r="G247" s="15" t="n"/>
      <c r="H247" s="16">
        <f>IF(AND($F247&lt;&gt;"",$G247&gt;0),$F247/$G247,"")</f>
        <v/>
      </c>
    </row>
    <row r="248">
      <c r="A248" s="12" t="n"/>
      <c r="B248" s="12" t="n"/>
      <c r="C248" s="12" t="n"/>
      <c r="D248" s="12" t="n"/>
      <c r="E248" s="18" t="n"/>
      <c r="F248" s="18">
        <f>IF(AND($D248&lt;&gt;"",$E248&lt;&gt;""),$D248*$E248,"")</f>
        <v/>
      </c>
      <c r="G248" s="12" t="n"/>
      <c r="H248" s="18">
        <f>IF(AND($F248&lt;&gt;"",$G248&gt;0),$F248/$G248,"")</f>
        <v/>
      </c>
    </row>
    <row r="249">
      <c r="A249" s="15" t="n"/>
      <c r="B249" s="15" t="n"/>
      <c r="C249" s="15" t="n"/>
      <c r="D249" s="15" t="n"/>
      <c r="E249" s="16" t="n"/>
      <c r="F249" s="16">
        <f>IF(AND($D249&lt;&gt;"",$E249&lt;&gt;""),$D249*$E249,"")</f>
        <v/>
      </c>
      <c r="G249" s="15" t="n"/>
      <c r="H249" s="16">
        <f>IF(AND($F249&lt;&gt;"",$G249&gt;0),$F249/$G249,"")</f>
        <v/>
      </c>
    </row>
    <row r="250">
      <c r="A250" s="12" t="n"/>
      <c r="B250" s="12" t="n"/>
      <c r="C250" s="12" t="n"/>
      <c r="D250" s="12" t="n"/>
      <c r="E250" s="18" t="n"/>
      <c r="F250" s="18">
        <f>IF(AND($D250&lt;&gt;"",$E250&lt;&gt;""),$D250*$E250,"")</f>
        <v/>
      </c>
      <c r="G250" s="12" t="n"/>
      <c r="H250" s="18">
        <f>IF(AND($F250&lt;&gt;"",$G250&gt;0),$F250/$G250,"")</f>
        <v/>
      </c>
    </row>
    <row r="251">
      <c r="A251" s="15" t="n"/>
      <c r="B251" s="15" t="n"/>
      <c r="C251" s="15" t="n"/>
      <c r="D251" s="15" t="n"/>
      <c r="E251" s="16" t="n"/>
      <c r="F251" s="16">
        <f>IF(AND($D251&lt;&gt;"",$E251&lt;&gt;""),$D251*$E251,"")</f>
        <v/>
      </c>
      <c r="G251" s="15" t="n"/>
      <c r="H251" s="16">
        <f>IF(AND($F251&lt;&gt;"",$G251&gt;0),$F251/$G251,"")</f>
        <v/>
      </c>
    </row>
    <row r="252">
      <c r="A252" s="12" t="n"/>
      <c r="B252" s="12" t="n"/>
      <c r="C252" s="12" t="n"/>
      <c r="D252" s="12" t="n"/>
      <c r="E252" s="18" t="n"/>
      <c r="F252" s="18">
        <f>IF(AND($D252&lt;&gt;"",$E252&lt;&gt;""),$D252*$E252,"")</f>
        <v/>
      </c>
      <c r="G252" s="12" t="n"/>
      <c r="H252" s="18">
        <f>IF(AND($F252&lt;&gt;"",$G252&gt;0),$F252/$G252,"")</f>
        <v/>
      </c>
    </row>
    <row r="253">
      <c r="A253" s="15" t="n"/>
      <c r="B253" s="15" t="n"/>
      <c r="C253" s="15" t="n"/>
      <c r="D253" s="15" t="n"/>
      <c r="E253" s="16" t="n"/>
      <c r="F253" s="16">
        <f>IF(AND($D253&lt;&gt;"",$E253&lt;&gt;""),$D253*$E253,"")</f>
        <v/>
      </c>
      <c r="G253" s="15" t="n"/>
      <c r="H253" s="16">
        <f>IF(AND($F253&lt;&gt;"",$G253&gt;0),$F253/$G253,"")</f>
        <v/>
      </c>
    </row>
    <row r="254">
      <c r="A254" s="12" t="n"/>
      <c r="B254" s="12" t="n"/>
      <c r="C254" s="12" t="n"/>
      <c r="D254" s="12" t="n"/>
      <c r="E254" s="18" t="n"/>
      <c r="F254" s="18">
        <f>IF(AND($D254&lt;&gt;"",$E254&lt;&gt;""),$D254*$E254,"")</f>
        <v/>
      </c>
      <c r="G254" s="12" t="n"/>
      <c r="H254" s="18">
        <f>IF(AND($F254&lt;&gt;"",$G254&gt;0),$F254/$G254,"")</f>
        <v/>
      </c>
    </row>
  </sheetData>
  <mergeCells count="2">
    <mergeCell ref="A2:H2"/>
    <mergeCell ref="A1:H1"/>
  </mergeCells>
  <dataValidations count="1">
    <dataValidation sqref="C5:C254" showDropDown="0" showInputMessage="0" showErrorMessage="0" allowBlank="1" type="list">
      <formula1>=Settings!$D$21:$D$26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4" customWidth="1" min="4" max="4"/>
    <col width="4" customWidth="1" min="5" max="5"/>
  </cols>
  <sheetData>
    <row r="1" ht="34" customHeight="1">
      <c r="A1" s="1" t="inlineStr">
        <is>
          <t>🧮  Rate Calculator</t>
        </is>
      </c>
    </row>
    <row r="2" ht="18" customHeight="1">
      <c r="A2" s="2" t="inlineStr">
        <is>
          <t>What must you charge per hour to hit your goal? Edit Settings to change inputs.</t>
        </is>
      </c>
    </row>
    <row r="4">
      <c r="B4" s="19" t="inlineStr">
        <is>
          <t>Your inputs come from the Settings tab.</t>
        </is>
      </c>
    </row>
    <row r="5">
      <c r="B5" s="7" t="inlineStr">
        <is>
          <t>Annual income goal</t>
        </is>
      </c>
      <c r="C5" s="20">
        <f>Settings!$C$7</f>
        <v/>
      </c>
    </row>
    <row r="6">
      <c r="B6" s="7" t="inlineStr">
        <is>
          <t>Estimated annual expenses</t>
        </is>
      </c>
      <c r="C6" s="20">
        <f>Settings!$C$10</f>
        <v/>
      </c>
    </row>
    <row r="7">
      <c r="B7" s="7" t="inlineStr">
        <is>
          <t>Tax set-aside rate</t>
        </is>
      </c>
      <c r="C7" s="21">
        <f>Settings!$C$9/100</f>
        <v/>
      </c>
    </row>
    <row r="8">
      <c r="B8" s="7" t="inlineStr">
        <is>
          <t>Billable hours per year</t>
        </is>
      </c>
      <c r="C8" s="22">
        <f>Settings!$C$8</f>
        <v/>
      </c>
    </row>
    <row r="9">
      <c r="B9" t="inlineStr"/>
    </row>
    <row r="10">
      <c r="B10" s="7" t="inlineStr">
        <is>
          <t>Revenue needed (pre-tax)</t>
        </is>
      </c>
      <c r="C10" s="20">
        <f>(Settings!$C$7+Settings!$C$10)/(1-Settings!$C$9/100)</f>
        <v/>
      </c>
      <c r="D10" s="19" t="inlineStr">
        <is>
          <t>Gross billings to net your goal after expenses &amp; tax.</t>
        </is>
      </c>
    </row>
    <row r="11">
      <c r="B11" s="23" t="inlineStr">
        <is>
          <t>→ Required hourly rate</t>
        </is>
      </c>
      <c r="C11" s="24">
        <f>IF(Settings!$C$8&gt;0,((Settings!$C$7+Settings!$C$10)/(1-Settings!$C$9/100))/Settings!$C$8,0)</f>
        <v/>
      </c>
      <c r="D11" s="19" t="inlineStr">
        <is>
          <t>Charge at least this. Round up.</t>
        </is>
      </c>
    </row>
    <row r="12">
      <c r="B12" s="23" t="inlineStr">
        <is>
          <t>→ Required day rate (8h)</t>
        </is>
      </c>
      <c r="C12" s="24">
        <f>IF(Settings!$C$8&gt;0,8*(((Settings!$C$7+Settings!$C$10)/(1-Settings!$C$9/100))/Settings!$C$8),0)</f>
        <v/>
      </c>
      <c r="D12" s="19" t="inlineStr">
        <is>
          <t>A clean number for proposals.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8" customWidth="1" min="3" max="3"/>
    <col width="6" customWidth="1" min="4" max="4"/>
    <col width="26" customWidth="1" min="5" max="5"/>
    <col width="16" customWidth="1" min="6" max="6"/>
    <col width="6" customWidth="1" min="7" max="7"/>
  </cols>
  <sheetData>
    <row r="1" ht="34" customHeight="1">
      <c r="A1" s="1" t="inlineStr">
        <is>
          <t>📊  Dashboard</t>
        </is>
      </c>
    </row>
    <row r="2" ht="18" customHeight="1">
      <c r="A2" s="2" t="inlineStr">
        <is>
          <t>Live snapshot of your business. Numbers update as you log income &amp; expenses.</t>
        </is>
      </c>
    </row>
    <row r="4">
      <c r="B4" s="25" t="inlineStr">
        <is>
          <t>Income received (Paid)</t>
        </is>
      </c>
      <c r="C4" s="15" t="n"/>
      <c r="E4" s="25" t="inlineStr">
        <is>
          <t>Outstanding invoices</t>
        </is>
      </c>
      <c r="F4" s="15" t="n"/>
    </row>
    <row r="5">
      <c r="B5" s="26">
        <f>SUMIF(Income!$F$5:$F$254,"Paid",Income!$E$5:$E$254)</f>
        <v/>
      </c>
      <c r="C5" s="15" t="n"/>
      <c r="E5" s="27">
        <f>SUMIF(Income!$F$5:$F$254,"Unpaid",Income!$E$5:$E$254)+SUMIF(Income!$F$5:$F$254,"Overdue",Income!$E$5:$E$254)</f>
        <v/>
      </c>
      <c r="F5" s="15" t="n"/>
    </row>
    <row r="7">
      <c r="B7" s="25" t="inlineStr">
        <is>
          <t>Total expenses</t>
        </is>
      </c>
      <c r="C7" s="15" t="n"/>
      <c r="E7" s="25" t="inlineStr">
        <is>
          <t>Net profit</t>
        </is>
      </c>
      <c r="F7" s="15" t="n"/>
    </row>
    <row r="8">
      <c r="B8" s="27">
        <f>SUM(Expenses!$E$5:$E$254)</f>
        <v/>
      </c>
      <c r="C8" s="15" t="n"/>
      <c r="E8" s="28">
        <f>(SUMIF(Income!$F$5:$F$254,"Paid",Income!$E$5:$E$254)-SUM(Expenses!$E$5:$E$254))</f>
        <v/>
      </c>
      <c r="F8" s="15" t="n"/>
    </row>
    <row r="10">
      <c r="B10" s="25" t="inlineStr">
        <is>
          <t>Estimated tax to set aside</t>
        </is>
      </c>
      <c r="C10" s="15" t="n"/>
      <c r="E10" s="25" t="inlineStr">
        <is>
          <t>Estimated take-home</t>
        </is>
      </c>
      <c r="F10" s="15" t="n"/>
    </row>
    <row r="11">
      <c r="B11" s="27">
        <f>MAX(0,(SUMIF(Income!$F$5:$F$254,"Paid",Income!$E$5:$E$254)-SUMIF(Expenses!$F$5:$F$254,"Yes",Expenses!$E$5:$E$254)))*Settings!$C$9/100</f>
        <v/>
      </c>
      <c r="C11" s="15" t="n"/>
      <c r="E11" s="26">
        <f>((SUMIF(Income!$F$5:$F$254,"Paid",Income!$E$5:$E$254)-SUM(Expenses!$E$5:$E$254))-(MAX(0,(SUMIF(Income!$F$5:$F$254,"Paid",Income!$E$5:$E$254)-SUMIF(Expenses!$F$5:$F$254,"Yes",Expenses!$E$5:$E$254)))*Settings!$C$9/100))</f>
        <v/>
      </c>
      <c r="F11" s="15" t="n"/>
    </row>
    <row r="14">
      <c r="B14" s="10" t="inlineStr">
        <is>
          <t>Progress to annual income goal</t>
        </is>
      </c>
      <c r="C14" s="29" t="inlineStr">
        <is>
          <t>Goal</t>
        </is>
      </c>
    </row>
    <row r="15">
      <c r="B15" s="30">
        <f>IF(Settings!$C$7&gt;0,SUMIF(Income!$F$5:$F$254,"Paid",Income!$E$5:$E$254)/Settings!$C$7,0)</f>
        <v/>
      </c>
      <c r="C15" s="31">
        <f>Settings!$C$7</f>
        <v/>
      </c>
    </row>
    <row r="18">
      <c r="E18" s="6" t="inlineStr">
        <is>
          <t>Month</t>
        </is>
      </c>
      <c r="F18" s="6" t="inlineStr">
        <is>
          <t>Income</t>
        </is>
      </c>
      <c r="G18" s="6" t="inlineStr">
        <is>
          <t>Expenses</t>
        </is>
      </c>
    </row>
    <row r="19">
      <c r="E19" s="15" t="inlineStr">
        <is>
          <t>Jan</t>
        </is>
      </c>
      <c r="F19" s="16">
        <f>SUMPRODUCT((Income!$F$5:$F$254="Paid")*(MONTH(Income!$A$5:$A$254)=1)*(ISNUMBER(Income!$A$5:$A$254))*Income!$E$5:$E$254)</f>
        <v/>
      </c>
      <c r="G19" s="16">
        <f>SUMPRODUCT((MONTH(Expenses!$A$5:$A$254)=1)*(ISNUMBER(Expenses!$A$5:$A$254))*Expenses!$E$5:$E$254)</f>
        <v/>
      </c>
    </row>
    <row r="20">
      <c r="E20" s="15" t="inlineStr">
        <is>
          <t>Feb</t>
        </is>
      </c>
      <c r="F20" s="16">
        <f>SUMPRODUCT((Income!$F$5:$F$254="Paid")*(MONTH(Income!$A$5:$A$254)=2)*(ISNUMBER(Income!$A$5:$A$254))*Income!$E$5:$E$254)</f>
        <v/>
      </c>
      <c r="G20" s="16">
        <f>SUMPRODUCT((MONTH(Expenses!$A$5:$A$254)=2)*(ISNUMBER(Expenses!$A$5:$A$254))*Expenses!$E$5:$E$254)</f>
        <v/>
      </c>
    </row>
    <row r="21">
      <c r="E21" s="15" t="inlineStr">
        <is>
          <t>Mar</t>
        </is>
      </c>
      <c r="F21" s="16">
        <f>SUMPRODUCT((Income!$F$5:$F$254="Paid")*(MONTH(Income!$A$5:$A$254)=3)*(ISNUMBER(Income!$A$5:$A$254))*Income!$E$5:$E$254)</f>
        <v/>
      </c>
      <c r="G21" s="16">
        <f>SUMPRODUCT((MONTH(Expenses!$A$5:$A$254)=3)*(ISNUMBER(Expenses!$A$5:$A$254))*Expenses!$E$5:$E$254)</f>
        <v/>
      </c>
    </row>
    <row r="22">
      <c r="E22" s="15" t="inlineStr">
        <is>
          <t>Apr</t>
        </is>
      </c>
      <c r="F22" s="16">
        <f>SUMPRODUCT((Income!$F$5:$F$254="Paid")*(MONTH(Income!$A$5:$A$254)=4)*(ISNUMBER(Income!$A$5:$A$254))*Income!$E$5:$E$254)</f>
        <v/>
      </c>
      <c r="G22" s="16">
        <f>SUMPRODUCT((MONTH(Expenses!$A$5:$A$254)=4)*(ISNUMBER(Expenses!$A$5:$A$254))*Expenses!$E$5:$E$254)</f>
        <v/>
      </c>
    </row>
    <row r="23">
      <c r="E23" s="15" t="inlineStr">
        <is>
          <t>May</t>
        </is>
      </c>
      <c r="F23" s="16">
        <f>SUMPRODUCT((Income!$F$5:$F$254="Paid")*(MONTH(Income!$A$5:$A$254)=5)*(ISNUMBER(Income!$A$5:$A$254))*Income!$E$5:$E$254)</f>
        <v/>
      </c>
      <c r="G23" s="16">
        <f>SUMPRODUCT((MONTH(Expenses!$A$5:$A$254)=5)*(ISNUMBER(Expenses!$A$5:$A$254))*Expenses!$E$5:$E$254)</f>
        <v/>
      </c>
    </row>
    <row r="24">
      <c r="E24" s="15" t="inlineStr">
        <is>
          <t>Jun</t>
        </is>
      </c>
      <c r="F24" s="16">
        <f>SUMPRODUCT((Income!$F$5:$F$254="Paid")*(MONTH(Income!$A$5:$A$254)=6)*(ISNUMBER(Income!$A$5:$A$254))*Income!$E$5:$E$254)</f>
        <v/>
      </c>
      <c r="G24" s="16">
        <f>SUMPRODUCT((MONTH(Expenses!$A$5:$A$254)=6)*(ISNUMBER(Expenses!$A$5:$A$254))*Expenses!$E$5:$E$254)</f>
        <v/>
      </c>
    </row>
    <row r="25">
      <c r="E25" s="15" t="inlineStr">
        <is>
          <t>Jul</t>
        </is>
      </c>
      <c r="F25" s="16">
        <f>SUMPRODUCT((Income!$F$5:$F$254="Paid")*(MONTH(Income!$A$5:$A$254)=7)*(ISNUMBER(Income!$A$5:$A$254))*Income!$E$5:$E$254)</f>
        <v/>
      </c>
      <c r="G25" s="16">
        <f>SUMPRODUCT((MONTH(Expenses!$A$5:$A$254)=7)*(ISNUMBER(Expenses!$A$5:$A$254))*Expenses!$E$5:$E$254)</f>
        <v/>
      </c>
    </row>
    <row r="26">
      <c r="E26" s="15" t="inlineStr">
        <is>
          <t>Aug</t>
        </is>
      </c>
      <c r="F26" s="16">
        <f>SUMPRODUCT((Income!$F$5:$F$254="Paid")*(MONTH(Income!$A$5:$A$254)=8)*(ISNUMBER(Income!$A$5:$A$254))*Income!$E$5:$E$254)</f>
        <v/>
      </c>
      <c r="G26" s="16">
        <f>SUMPRODUCT((MONTH(Expenses!$A$5:$A$254)=8)*(ISNUMBER(Expenses!$A$5:$A$254))*Expenses!$E$5:$E$254)</f>
        <v/>
      </c>
    </row>
    <row r="27">
      <c r="E27" s="15" t="inlineStr">
        <is>
          <t>Sep</t>
        </is>
      </c>
      <c r="F27" s="16">
        <f>SUMPRODUCT((Income!$F$5:$F$254="Paid")*(MONTH(Income!$A$5:$A$254)=9)*(ISNUMBER(Income!$A$5:$A$254))*Income!$E$5:$E$254)</f>
        <v/>
      </c>
      <c r="G27" s="16">
        <f>SUMPRODUCT((MONTH(Expenses!$A$5:$A$254)=9)*(ISNUMBER(Expenses!$A$5:$A$254))*Expenses!$E$5:$E$254)</f>
        <v/>
      </c>
    </row>
    <row r="28">
      <c r="E28" s="15" t="inlineStr">
        <is>
          <t>Oct</t>
        </is>
      </c>
      <c r="F28" s="16">
        <f>SUMPRODUCT((Income!$F$5:$F$254="Paid")*(MONTH(Income!$A$5:$A$254)=10)*(ISNUMBER(Income!$A$5:$A$254))*Income!$E$5:$E$254)</f>
        <v/>
      </c>
      <c r="G28" s="16">
        <f>SUMPRODUCT((MONTH(Expenses!$A$5:$A$254)=10)*(ISNUMBER(Expenses!$A$5:$A$254))*Expenses!$E$5:$E$254)</f>
        <v/>
      </c>
    </row>
    <row r="29">
      <c r="E29" s="15" t="inlineStr">
        <is>
          <t>Nov</t>
        </is>
      </c>
      <c r="F29" s="16">
        <f>SUMPRODUCT((Income!$F$5:$F$254="Paid")*(MONTH(Income!$A$5:$A$254)=11)*(ISNUMBER(Income!$A$5:$A$254))*Income!$E$5:$E$254)</f>
        <v/>
      </c>
      <c r="G29" s="16">
        <f>SUMPRODUCT((MONTH(Expenses!$A$5:$A$254)=11)*(ISNUMBER(Expenses!$A$5:$A$254))*Expenses!$E$5:$E$254)</f>
        <v/>
      </c>
    </row>
    <row r="30">
      <c r="E30" s="15" t="inlineStr">
        <is>
          <t>Dec</t>
        </is>
      </c>
      <c r="F30" s="16">
        <f>SUMPRODUCT((Income!$F$5:$F$254="Paid")*(MONTH(Income!$A$5:$A$254)=12)*(ISNUMBER(Income!$A$5:$A$254))*Income!$E$5:$E$254)</f>
        <v/>
      </c>
      <c r="G30" s="16">
        <f>SUMPRODUCT((MONTH(Expenses!$A$5:$A$254)=12)*(ISNUMBER(Expenses!$A$5:$A$254))*Expenses!$E$5:$E$254)</f>
        <v/>
      </c>
    </row>
    <row r="33">
      <c r="E33" s="32" t="inlineStr">
        <is>
          <t>Category</t>
        </is>
      </c>
      <c r="F33" s="32" t="inlineStr">
        <is>
          <t>Spent</t>
        </is>
      </c>
    </row>
    <row r="34">
      <c r="E34" s="15" t="inlineStr">
        <is>
          <t>Software &amp; subscriptions</t>
        </is>
      </c>
      <c r="F34" s="16">
        <f>SUMIF(Expenses!$C$5:$C$254,$E34,Expenses!$E$5:$E$254)</f>
        <v/>
      </c>
    </row>
    <row r="35">
      <c r="E35" s="15" t="inlineStr">
        <is>
          <t>Hardware &amp; equipment</t>
        </is>
      </c>
      <c r="F35" s="16">
        <f>SUMIF(Expenses!$C$5:$C$254,$E35,Expenses!$E$5:$E$254)</f>
        <v/>
      </c>
    </row>
    <row r="36">
      <c r="E36" s="15" t="inlineStr">
        <is>
          <t>Office &amp; supplies</t>
        </is>
      </c>
      <c r="F36" s="16">
        <f>SUMIF(Expenses!$C$5:$C$254,$E36,Expenses!$E$5:$E$254)</f>
        <v/>
      </c>
    </row>
    <row r="37">
      <c r="E37" s="15" t="inlineStr">
        <is>
          <t>Travel &amp; transport</t>
        </is>
      </c>
      <c r="F37" s="16">
        <f>SUMIF(Expenses!$C$5:$C$254,$E37,Expenses!$E$5:$E$254)</f>
        <v/>
      </c>
    </row>
    <row r="38">
      <c r="E38" s="15" t="inlineStr">
        <is>
          <t>Marketing &amp; advertising</t>
        </is>
      </c>
      <c r="F38" s="16">
        <f>SUMIF(Expenses!$C$5:$C$254,$E38,Expenses!$E$5:$E$254)</f>
        <v/>
      </c>
    </row>
    <row r="39">
      <c r="E39" s="15" t="inlineStr">
        <is>
          <t>Professional services</t>
        </is>
      </c>
      <c r="F39" s="16">
        <f>SUMIF(Expenses!$C$5:$C$254,$E39,Expenses!$E$5:$E$254)</f>
        <v/>
      </c>
    </row>
    <row r="40">
      <c r="E40" s="15" t="inlineStr">
        <is>
          <t>Education &amp; training</t>
        </is>
      </c>
      <c r="F40" s="16">
        <f>SUMIF(Expenses!$C$5:$C$254,$E40,Expenses!$E$5:$E$254)</f>
        <v/>
      </c>
    </row>
    <row r="41">
      <c r="E41" s="15" t="inlineStr">
        <is>
          <t>Bank &amp; payment fees</t>
        </is>
      </c>
      <c r="F41" s="16">
        <f>SUMIF(Expenses!$C$5:$C$254,$E41,Expenses!$E$5:$E$254)</f>
        <v/>
      </c>
    </row>
    <row r="42">
      <c r="E42" s="15" t="inlineStr">
        <is>
          <t>Insurance</t>
        </is>
      </c>
      <c r="F42" s="16">
        <f>SUMIF(Expenses!$C$5:$C$254,$E42,Expenses!$E$5:$E$254)</f>
        <v/>
      </c>
    </row>
    <row r="43">
      <c r="E43" s="15" t="inlineStr">
        <is>
          <t>Rent &amp; utilities</t>
        </is>
      </c>
      <c r="F43" s="16">
        <f>SUMIF(Expenses!$C$5:$C$254,$E43,Expenses!$E$5:$E$254)</f>
        <v/>
      </c>
    </row>
    <row r="44">
      <c r="E44" s="15" t="inlineStr">
        <is>
          <t>Meals &amp; entertainment</t>
        </is>
      </c>
      <c r="F44" s="16">
        <f>SUMIF(Expenses!$C$5:$C$254,$E44,Expenses!$E$5:$E$254)</f>
        <v/>
      </c>
    </row>
    <row r="45">
      <c r="E45" s="15" t="inlineStr">
        <is>
          <t>Other</t>
        </is>
      </c>
      <c r="F45" s="16">
        <f>SUMIF(Expenses!$C$5:$C$254,$E45,Expenses!$E$5:$E$254)</f>
        <v/>
      </c>
    </row>
  </sheetData>
  <mergeCells count="14">
    <mergeCell ref="E4:F4"/>
    <mergeCell ref="B7:C7"/>
    <mergeCell ref="B11:C11"/>
    <mergeCell ref="E7:F7"/>
    <mergeCell ref="E10:F10"/>
    <mergeCell ref="B5:C5"/>
    <mergeCell ref="A2:H2"/>
    <mergeCell ref="E8:F8"/>
    <mergeCell ref="B10:C10"/>
    <mergeCell ref="E11:F11"/>
    <mergeCell ref="E5:F5"/>
    <mergeCell ref="A1:H1"/>
    <mergeCell ref="B8:C8"/>
    <mergeCell ref="B4:C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2026-06-26T09:56:17Z</dcterms:created>
  <dcterms:modified xsi:type="dcterms:W3CDTF">2026-06-26T09:56:17Z</dcterms:modified>
</cp:coreProperties>
</file>